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tabRatio="759"/>
  </bookViews>
  <sheets>
    <sheet name="首页" sheetId="1" r:id="rId1"/>
    <sheet name="说明书" sheetId="2" r:id="rId2"/>
    <sheet name="Sheet3" sheetId="3" state="veryHidden" r:id="rId3"/>
    <sheet name="合同记录" sheetId="4" state="veryHidden" r:id="rId4"/>
    <sheet name="已完成合同" sheetId="6" state="veryHidden" r:id="rId5"/>
    <sheet name="开票合同" sheetId="7" state="veryHidden" r:id="rId6"/>
    <sheet name="员工工时查询" sheetId="8" state="veryHidden" r:id="rId7"/>
    <sheet name="工艺规程单" sheetId="5" state="veryHidden" r:id="rId8"/>
    <sheet name="出库单" sheetId="9" state="veryHidden" r:id="rId9"/>
    <sheet name="退货单" sheetId="13" state="veryHidden" r:id="rId10"/>
    <sheet name="退货记录查询" sheetId="14" state="veryHidden" r:id="rId11"/>
    <sheet name="配置表" sheetId="11" state="veryHidden" r:id="rId12"/>
    <sheet name="Sheet1" sheetId="15" state="veryHidden" r:id="rId13"/>
    <sheet name="数据暂存" sheetId="12" state="veryHidden" r:id="rId14"/>
    <sheet name="账号管理" sheetId="10" state="veryHidden" r:id="rId15"/>
  </sheets>
  <definedNames>
    <definedName name="_xlnm._FilterDatabase" localSheetId="3" hidden="1">合同记录!$C$1:$C$4</definedName>
    <definedName name="_xlnm._FilterDatabase" localSheetId="4" hidden="1">已完成合同!$R$1:$R$4</definedName>
    <definedName name="_xlnm.Print_Area" localSheetId="8">出库单!$C$3:$O$6</definedName>
    <definedName name="_xlnm.Print_Area" localSheetId="7">工艺规程单!$C$4:$N$14</definedName>
    <definedName name="_xlnm.Print_Area" localSheetId="9">退货单!$B$3:$P$12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A4" authorId="0">
      <text>
        <r>
          <rPr>
            <sz val="9"/>
            <rFont val="宋体"/>
            <charset val="134"/>
          </rPr>
          <t>双击此列可勾选合同，在出库单和退货单中点击生成新单可拉取勾选的合同信息</t>
        </r>
      </text>
    </comment>
    <comment ref="D4" authorId="0">
      <text>
        <r>
          <rPr>
            <sz val="9"/>
            <rFont val="宋体"/>
            <charset val="134"/>
          </rPr>
          <t>此列必填</t>
        </r>
      </text>
    </comment>
    <comment ref="F4" authorId="0">
      <text>
        <r>
          <rPr>
            <sz val="9"/>
            <rFont val="宋体"/>
            <charset val="134"/>
          </rPr>
          <t>双击打开工艺规程单</t>
        </r>
      </text>
    </comment>
    <comment ref="AR4" authorId="0">
      <text>
        <r>
          <rPr>
            <sz val="9"/>
            <rFont val="宋体"/>
            <charset val="134"/>
          </rPr>
          <t>双击选择日期</t>
        </r>
      </text>
    </comment>
    <comment ref="AS4" authorId="0">
      <text>
        <r>
          <rPr>
            <sz val="9"/>
            <rFont val="宋体"/>
            <charset val="134"/>
          </rPr>
          <t>双击选择日期</t>
        </r>
      </text>
    </comment>
  </commentList>
</comments>
</file>

<file path=xl/comments2.xml><?xml version="1.0" encoding="utf-8"?>
<comments xmlns="http://schemas.openxmlformats.org/spreadsheetml/2006/main">
  <authors>
    <author>Administrator</author>
  </authors>
  <commentList>
    <comment ref="D4" authorId="0">
      <text>
        <r>
          <rPr>
            <sz val="9"/>
            <rFont val="宋体"/>
            <charset val="134"/>
          </rPr>
          <t>此列必填</t>
        </r>
      </text>
    </comment>
    <comment ref="F4" authorId="0">
      <text>
        <r>
          <rPr>
            <sz val="9"/>
            <rFont val="宋体"/>
            <charset val="134"/>
          </rPr>
          <t>双击打开工艺规程单</t>
        </r>
      </text>
    </comment>
    <comment ref="AS4" authorId="0">
      <text>
        <r>
          <rPr>
            <sz val="9"/>
            <rFont val="宋体"/>
            <charset val="134"/>
          </rPr>
          <t>双击选择日期</t>
        </r>
      </text>
    </comment>
    <comment ref="AT4" authorId="0">
      <text>
        <r>
          <rPr>
            <sz val="9"/>
            <rFont val="宋体"/>
            <charset val="134"/>
          </rPr>
          <t>双击选择日期</t>
        </r>
      </text>
    </comment>
  </commentList>
</comments>
</file>

<file path=xl/comments3.xml><?xml version="1.0" encoding="utf-8"?>
<comments xmlns="http://schemas.openxmlformats.org/spreadsheetml/2006/main">
  <authors>
    <author>Administrator</author>
  </authors>
  <commentList>
    <comment ref="D4" authorId="0">
      <text>
        <r>
          <rPr>
            <sz val="9"/>
            <rFont val="宋体"/>
            <charset val="134"/>
          </rPr>
          <t>此列必填</t>
        </r>
      </text>
    </comment>
    <comment ref="F4" authorId="0">
      <text>
        <r>
          <rPr>
            <sz val="9"/>
            <rFont val="宋体"/>
            <charset val="134"/>
          </rPr>
          <t>双击打开工艺规程单</t>
        </r>
      </text>
    </comment>
    <comment ref="AS4" authorId="0">
      <text>
        <r>
          <rPr>
            <sz val="9"/>
            <rFont val="宋体"/>
            <charset val="134"/>
          </rPr>
          <t>双击选择日期</t>
        </r>
      </text>
    </comment>
    <comment ref="AT4" authorId="0">
      <text>
        <r>
          <rPr>
            <sz val="9"/>
            <rFont val="宋体"/>
            <charset val="134"/>
          </rPr>
          <t>双击选择日期</t>
        </r>
      </text>
    </comment>
  </commentList>
</comments>
</file>

<file path=xl/comments4.xml><?xml version="1.0" encoding="utf-8"?>
<comments xmlns="http://schemas.openxmlformats.org/spreadsheetml/2006/main">
  <authors>
    <author>Administrator</author>
  </authors>
  <commentList>
    <comment ref="D7" authorId="0">
      <text>
        <r>
          <rPr>
            <sz val="9"/>
            <rFont val="宋体"/>
            <charset val="134"/>
          </rPr>
          <t>此列必填</t>
        </r>
      </text>
    </comment>
    <comment ref="K7" authorId="0">
      <text>
        <r>
          <rPr>
            <sz val="9"/>
            <rFont val="宋体"/>
            <charset val="134"/>
          </rPr>
          <t>双击选择日期</t>
        </r>
      </text>
    </comment>
    <comment ref="E14" authorId="0">
      <text>
        <r>
          <rPr>
            <sz val="9"/>
            <rFont val="宋体"/>
            <charset val="134"/>
          </rPr>
          <t xml:space="preserve">双击选择日期
</t>
        </r>
      </text>
    </comment>
    <comment ref="I14" authorId="0">
      <text>
        <r>
          <rPr>
            <sz val="9"/>
            <rFont val="宋体"/>
            <charset val="134"/>
          </rPr>
          <t xml:space="preserve">双击选择日期
</t>
        </r>
      </text>
    </comment>
    <comment ref="M14" authorId="0">
      <text>
        <r>
          <rPr>
            <sz val="9"/>
            <rFont val="宋体"/>
            <charset val="134"/>
          </rPr>
          <t xml:space="preserve">双击选择日期
</t>
        </r>
      </text>
    </comment>
  </commentList>
</comments>
</file>

<file path=xl/comments5.xml><?xml version="1.0" encoding="utf-8"?>
<comments xmlns="http://schemas.openxmlformats.org/spreadsheetml/2006/main">
  <authors>
    <author>Administrator</author>
  </authors>
  <commentList>
    <comment ref="B1" authorId="0">
      <text>
        <r>
          <rPr>
            <sz val="9"/>
            <rFont val="宋体"/>
            <charset val="134"/>
          </rPr>
          <t>此列必填</t>
        </r>
      </text>
    </comment>
  </commentList>
</comments>
</file>

<file path=xl/sharedStrings.xml><?xml version="1.0" encoding="utf-8"?>
<sst xmlns="http://schemas.openxmlformats.org/spreadsheetml/2006/main" count="348" uniqueCount="165">
  <si>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</si>
  <si>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使用说明</t>
  </si>
  <si>
    <t>当前页:</t>
  </si>
  <si>
    <t>1.</t>
  </si>
  <si>
    <t>在合同记录表中点击刷新按钮可同步最新信息。填写或修改信息后点击保存按钮即可保存。选中想要删除的信息</t>
  </si>
  <si>
    <t>点击删除选中按钮即可删除。选中合同信息后点击设置完成按钮可将选中的合同移动到已完成合同表中。工艺规</t>
  </si>
  <si>
    <t>程状态位置刷新时自动更新，双击此列可跳转到对应合同的工艺规程单。</t>
  </si>
  <si>
    <t>2.</t>
  </si>
  <si>
    <t>在工艺规程单中点击加一行减一行可控制单据行数。点击刷新按钮同步最新单据。填写或修改信息后点击保存按</t>
  </si>
  <si>
    <t>钮即可保存。选中想要删除的信息点击删除选中按钮即可删除。</t>
  </si>
  <si>
    <t>3.</t>
  </si>
  <si>
    <t>已完成合同表中选中合同信息后点击设置对账按钮可将选中的合同状态设置为已对账。点击设置开票按钮可将选</t>
  </si>
  <si>
    <t>中合同移动到开票合同表中。</t>
  </si>
  <si>
    <t>4.</t>
  </si>
  <si>
    <t>开票合同表中选中合同后点击设置开票按钮可将合同状态设置为已开票。</t>
  </si>
  <si>
    <t>5.</t>
  </si>
  <si>
    <t>员工工时查询表中点击查询按钮，在弹出的窗口中选择时间段和员工后点击确定，自动获取对应员工的工艺规程</t>
  </si>
  <si>
    <t>单中的工时。</t>
  </si>
  <si>
    <t>yyyyyyyyyyyyyyyyyyyyyyyyyyyyyyyyyyyyyyyyyyyyyyyyyyyyyyyyyyyyyyyyyyyyyyyyyyyyyyyyy</t>
  </si>
  <si>
    <t>6.</t>
  </si>
  <si>
    <t>管理员</t>
  </si>
  <si>
    <t>▌  合同记录</t>
  </si>
  <si>
    <t>业务单位</t>
  </si>
  <si>
    <t>合同号</t>
  </si>
  <si>
    <t>任务号</t>
  </si>
  <si>
    <t>工艺规程状态</t>
  </si>
  <si>
    <t>工序</t>
  </si>
  <si>
    <t>名称</t>
  </si>
  <si>
    <t>图号</t>
  </si>
  <si>
    <t>单位</t>
  </si>
  <si>
    <t>数量</t>
  </si>
  <si>
    <t>材质</t>
  </si>
  <si>
    <t>序合计</t>
  </si>
  <si>
    <t>重量</t>
  </si>
  <si>
    <t>工件尺寸</t>
  </si>
  <si>
    <t>单价
元</t>
  </si>
  <si>
    <t>合计金额</t>
  </si>
  <si>
    <t>铣工时/40</t>
  </si>
  <si>
    <t>铣单价</t>
  </si>
  <si>
    <t>车工时/40</t>
  </si>
  <si>
    <t>车单价</t>
  </si>
  <si>
    <t>钳工时/40</t>
  </si>
  <si>
    <t>钳单价</t>
  </si>
  <si>
    <t>整件外委工时/57.6</t>
  </si>
  <si>
    <t>整件外委单价</t>
  </si>
  <si>
    <t>外委工时/48</t>
  </si>
  <si>
    <t>外委单价</t>
  </si>
  <si>
    <t>镗工时/73</t>
  </si>
  <si>
    <t>镗单价</t>
  </si>
  <si>
    <t>割工时/24</t>
  </si>
  <si>
    <t>割单价</t>
  </si>
  <si>
    <t>磨工时/42</t>
  </si>
  <si>
    <t>磨单价</t>
  </si>
  <si>
    <t>数控铣工时/69</t>
  </si>
  <si>
    <t>数控铣单价</t>
  </si>
  <si>
    <t>立车/71</t>
  </si>
  <si>
    <t>立车单价</t>
  </si>
  <si>
    <t>电火花/42</t>
  </si>
  <si>
    <t>电火花单价</t>
  </si>
  <si>
    <t>中走丝/38</t>
  </si>
  <si>
    <t>中走丝单价</t>
  </si>
  <si>
    <t>下料</t>
  </si>
  <si>
    <t>深孔钻</t>
  </si>
  <si>
    <t>回厂日期</t>
  </si>
  <si>
    <t>出厂日期</t>
  </si>
  <si>
    <t>订单要求交货时间</t>
  </si>
  <si>
    <t>铣</t>
  </si>
  <si>
    <t>车</t>
  </si>
  <si>
    <t>登记员</t>
  </si>
  <si>
    <t>备注</t>
  </si>
  <si>
    <t>泰科整改</t>
  </si>
  <si>
    <t>2025/2/18交</t>
  </si>
  <si>
    <t>未完成</t>
  </si>
  <si>
    <t>连接块1改</t>
  </si>
  <si>
    <t>24HTK004-15.0.0-02G</t>
  </si>
  <si>
    <t>件</t>
  </si>
  <si>
    <t>Q235A</t>
  </si>
  <si>
    <t>未创建</t>
  </si>
  <si>
    <t>压紧盖</t>
  </si>
  <si>
    <t>24HTK004-15.0.0-08</t>
  </si>
  <si>
    <t>45#</t>
  </si>
  <si>
    <t>▌  已完成合同</t>
  </si>
  <si>
    <t>对账状态</t>
  </si>
  <si>
    <t>出库单号</t>
  </si>
  <si>
    <t xml:space="preserve">                                                                                                                                                                                              </t>
  </si>
  <si>
    <t>▌  开票合同</t>
  </si>
  <si>
    <t>开票状态</t>
  </si>
  <si>
    <t>▌  员工工时查询</t>
  </si>
  <si>
    <t>▌  员工工时汇总</t>
  </si>
  <si>
    <t>总工时：</t>
  </si>
  <si>
    <t>每小时工资：</t>
  </si>
  <si>
    <t>总工资：</t>
  </si>
  <si>
    <t>工序名称</t>
  </si>
  <si>
    <t>工序内容</t>
  </si>
  <si>
    <t>合计工时</t>
  </si>
  <si>
    <t>员工签名</t>
  </si>
  <si>
    <t>完工时间</t>
  </si>
  <si>
    <t>检验盖章</t>
  </si>
  <si>
    <t>员工姓名</t>
  </si>
  <si>
    <t>▌  工艺规程单</t>
  </si>
  <si>
    <t>成都龙辉机械设备制造有限公司工艺规程</t>
  </si>
  <si>
    <t>合同记录ID</t>
  </si>
  <si>
    <t>零件名称</t>
  </si>
  <si>
    <t>序号</t>
  </si>
  <si>
    <t>小车</t>
  </si>
  <si>
    <t>找料作合图</t>
  </si>
  <si>
    <t>钳</t>
  </si>
  <si>
    <t>作孔合图</t>
  </si>
  <si>
    <t>外协</t>
  </si>
  <si>
    <t>发黑</t>
  </si>
  <si>
    <t>工艺员:</t>
  </si>
  <si>
    <t>左延安</t>
  </si>
  <si>
    <t>校对员：</t>
  </si>
  <si>
    <t>漆中华</t>
  </si>
  <si>
    <t>批准：</t>
  </si>
  <si>
    <t>秦进仓</t>
  </si>
  <si>
    <t>成都龙辉机械设备制造有限公司销售单</t>
  </si>
  <si>
    <t>往来单位：</t>
  </si>
  <si>
    <t>中国航发航空科技股份有限公司</t>
  </si>
  <si>
    <t>送货日期：</t>
  </si>
  <si>
    <t>LH-202405240003</t>
  </si>
  <si>
    <t xml:space="preserve">            成都龙辉机械设备制造有限公司退货单</t>
  </si>
  <si>
    <t>退货客户：</t>
  </si>
  <si>
    <t>退货电话：</t>
  </si>
  <si>
    <t>退货日期：</t>
  </si>
  <si>
    <t>序
号</t>
  </si>
  <si>
    <t>产品名称</t>
  </si>
  <si>
    <t>单价</t>
  </si>
  <si>
    <t>金额</t>
  </si>
  <si>
    <t>退货原因</t>
  </si>
  <si>
    <t>地址：</t>
  </si>
  <si>
    <t>客户签字：</t>
  </si>
  <si>
    <t>电话：</t>
  </si>
  <si>
    <t>▌  退货记录查询</t>
  </si>
  <si>
    <t>退货客户</t>
  </si>
  <si>
    <t>退货电话</t>
  </si>
  <si>
    <t>退货日期</t>
  </si>
  <si>
    <t>退货单号</t>
  </si>
  <si>
    <t>地址</t>
  </si>
  <si>
    <t>客户签字</t>
  </si>
  <si>
    <t>电话</t>
  </si>
  <si>
    <t>▌  配置表</t>
  </si>
  <si>
    <t>工艺员</t>
  </si>
  <si>
    <t>校对员</t>
  </si>
  <si>
    <t>批准</t>
  </si>
  <si>
    <t>时间</t>
  </si>
  <si>
    <t>当次张数</t>
  </si>
  <si>
    <t>退图</t>
  </si>
  <si>
    <t>2024/2/3-2</t>
  </si>
  <si>
    <t>id</t>
  </si>
  <si>
    <t>▌  账号管理</t>
  </si>
  <si>
    <t>姓名</t>
  </si>
  <si>
    <t>账号</t>
  </si>
  <si>
    <t>密码</t>
  </si>
  <si>
    <t>权限</t>
  </si>
  <si>
    <t>龙辉</t>
  </si>
  <si>
    <t>852963*</t>
  </si>
  <si>
    <t>123123</t>
  </si>
  <si>
    <t>用户</t>
  </si>
  <si>
    <t>唐晓玲</t>
  </si>
  <si>
    <t>财务</t>
  </si>
  <si>
    <t>钟全敏</t>
  </si>
  <si>
    <t>生产</t>
  </si>
  <si>
    <t>工艺</t>
  </si>
  <si>
    <t>曾顺</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</si>
</sst>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DBNum2][$RMB]&quot;合计金额(大写)：&quot;General;[Red][DBNum2][$RMB]General"/>
    <numFmt numFmtId="177" formatCode="&quot;LT-&quot;"/>
    <numFmt numFmtId="178" formatCode="00"/>
  </numFmts>
  <fonts count="52">
    <font>
      <sz val="12"/>
      <name val="宋体"/>
      <charset val="134"/>
    </font>
    <font>
      <sz val="18"/>
      <name val="宋体"/>
      <charset val="134"/>
    </font>
    <font>
      <b/>
      <sz val="11"/>
      <color theme="0"/>
      <name val="微软雅黑"/>
      <charset val="134"/>
    </font>
    <font>
      <sz val="22"/>
      <name val="宋体"/>
      <charset val="134"/>
    </font>
    <font>
      <sz val="26"/>
      <name val="微软雅黑"/>
      <charset val="134"/>
    </font>
    <font>
      <sz val="12"/>
      <name val="微软雅黑"/>
      <charset val="134"/>
    </font>
    <font>
      <sz val="10"/>
      <name val="微软雅黑"/>
      <charset val="134"/>
    </font>
    <font>
      <sz val="11"/>
      <name val="微软雅黑"/>
      <charset val="134"/>
    </font>
    <font>
      <sz val="24"/>
      <name val="微软雅黑"/>
      <charset val="134"/>
    </font>
    <font>
      <b/>
      <sz val="14"/>
      <name val="微软雅黑"/>
      <charset val="134"/>
    </font>
    <font>
      <b/>
      <sz val="14"/>
      <name val="宋体"/>
      <charset val="134"/>
    </font>
    <font>
      <sz val="14"/>
      <name val="宋体"/>
      <charset val="134"/>
    </font>
    <font>
      <b/>
      <sz val="11"/>
      <name val="微软雅黑"/>
      <charset val="134"/>
    </font>
    <font>
      <sz val="22"/>
      <name val="微软雅黑"/>
      <charset val="134"/>
    </font>
    <font>
      <b/>
      <sz val="12"/>
      <name val="微软雅黑"/>
      <charset val="134"/>
    </font>
    <font>
      <b/>
      <sz val="12"/>
      <name val="宋体"/>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sz val="9"/>
      <name val="宋体"/>
      <charset val="134"/>
    </font>
  </fonts>
  <fills count="40">
    <fill>
      <patternFill patternType="none"/>
    </fill>
    <fill>
      <patternFill patternType="gray125"/>
    </fill>
    <fill>
      <patternFill patternType="solid">
        <fgColor rgb="FF34AC8B"/>
        <bgColor indexed="64"/>
      </patternFill>
    </fill>
    <fill>
      <patternFill patternType="solid">
        <fgColor rgb="FFFFFF0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349986266670736"/>
      </left>
      <right style="thin">
        <color theme="0" tint="-0.349986266670736"/>
      </right>
      <top style="thin">
        <color theme="0" tint="-0.349986266670736"/>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18" fillId="10" borderId="11" applyNumberFormat="0" applyFont="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2" applyNumberFormat="0" applyFill="0" applyAlignment="0" applyProtection="0">
      <alignment vertical="center"/>
    </xf>
    <xf numFmtId="0" fontId="37" fillId="0" borderId="12" applyNumberFormat="0" applyFill="0" applyAlignment="0" applyProtection="0">
      <alignment vertical="center"/>
    </xf>
    <xf numFmtId="0" fontId="38" fillId="0" borderId="13" applyNumberFormat="0" applyFill="0" applyAlignment="0" applyProtection="0">
      <alignment vertical="center"/>
    </xf>
    <xf numFmtId="0" fontId="38" fillId="0" borderId="0" applyNumberFormat="0" applyFill="0" applyBorder="0" applyAlignment="0" applyProtection="0">
      <alignment vertical="center"/>
    </xf>
    <xf numFmtId="0" fontId="39" fillId="11" borderId="14" applyNumberFormat="0" applyAlignment="0" applyProtection="0">
      <alignment vertical="center"/>
    </xf>
    <xf numFmtId="0" fontId="40" fillId="12" borderId="15" applyNumberFormat="0" applyAlignment="0" applyProtection="0">
      <alignment vertical="center"/>
    </xf>
    <xf numFmtId="0" fontId="41" fillId="12" borderId="14" applyNumberFormat="0" applyAlignment="0" applyProtection="0">
      <alignment vertical="center"/>
    </xf>
    <xf numFmtId="0" fontId="42" fillId="13" borderId="16" applyNumberFormat="0" applyAlignment="0" applyProtection="0">
      <alignment vertical="center"/>
    </xf>
    <xf numFmtId="0" fontId="43" fillId="0" borderId="17" applyNumberFormat="0" applyFill="0" applyAlignment="0" applyProtection="0">
      <alignment vertical="center"/>
    </xf>
    <xf numFmtId="0" fontId="44" fillId="0" borderId="18" applyNumberFormat="0" applyFill="0" applyAlignment="0" applyProtection="0">
      <alignment vertical="center"/>
    </xf>
    <xf numFmtId="0" fontId="45" fillId="14" borderId="0" applyNumberFormat="0" applyBorder="0" applyAlignment="0" applyProtection="0">
      <alignment vertical="center"/>
    </xf>
    <xf numFmtId="0" fontId="46" fillId="15" borderId="0" applyNumberFormat="0" applyBorder="0" applyAlignment="0" applyProtection="0">
      <alignment vertical="center"/>
    </xf>
    <xf numFmtId="0" fontId="47" fillId="16" borderId="0" applyNumberFormat="0" applyBorder="0" applyAlignment="0" applyProtection="0">
      <alignment vertical="center"/>
    </xf>
    <xf numFmtId="0" fontId="48" fillId="17" borderId="0" applyNumberFormat="0" applyBorder="0" applyAlignment="0" applyProtection="0">
      <alignment vertical="center"/>
    </xf>
    <xf numFmtId="0" fontId="49" fillId="18" borderId="0" applyNumberFormat="0" applyBorder="0" applyAlignment="0" applyProtection="0">
      <alignment vertical="center"/>
    </xf>
    <xf numFmtId="0" fontId="49" fillId="9" borderId="0" applyNumberFormat="0" applyBorder="0" applyAlignment="0" applyProtection="0">
      <alignment vertical="center"/>
    </xf>
    <xf numFmtId="0" fontId="48"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49" fillId="22" borderId="0" applyNumberFormat="0" applyBorder="0" applyAlignment="0" applyProtection="0">
      <alignment vertical="center"/>
    </xf>
    <xf numFmtId="0" fontId="48" fillId="23" borderId="0" applyNumberFormat="0" applyBorder="0" applyAlignment="0" applyProtection="0">
      <alignment vertical="center"/>
    </xf>
    <xf numFmtId="0" fontId="48" fillId="24" borderId="0" applyNumberFormat="0" applyBorder="0" applyAlignment="0" applyProtection="0">
      <alignment vertical="center"/>
    </xf>
    <xf numFmtId="0" fontId="49" fillId="25" borderId="0" applyNumberFormat="0" applyBorder="0" applyAlignment="0" applyProtection="0">
      <alignment vertical="center"/>
    </xf>
    <xf numFmtId="0" fontId="49" fillId="26" borderId="0" applyNumberFormat="0" applyBorder="0" applyAlignment="0" applyProtection="0">
      <alignment vertical="center"/>
    </xf>
    <xf numFmtId="0" fontId="48" fillId="27" borderId="0" applyNumberFormat="0" applyBorder="0" applyAlignment="0" applyProtection="0">
      <alignment vertical="center"/>
    </xf>
    <xf numFmtId="0" fontId="48" fillId="28" borderId="0" applyNumberFormat="0" applyBorder="0" applyAlignment="0" applyProtection="0">
      <alignment vertical="center"/>
    </xf>
    <xf numFmtId="0" fontId="49" fillId="29" borderId="0" applyNumberFormat="0" applyBorder="0" applyAlignment="0" applyProtection="0">
      <alignment vertical="center"/>
    </xf>
    <xf numFmtId="0" fontId="49" fillId="30" borderId="0" applyNumberFormat="0" applyBorder="0" applyAlignment="0" applyProtection="0">
      <alignment vertical="center"/>
    </xf>
    <xf numFmtId="0" fontId="48" fillId="31" borderId="0" applyNumberFormat="0" applyBorder="0" applyAlignment="0" applyProtection="0">
      <alignment vertical="center"/>
    </xf>
    <xf numFmtId="0" fontId="48" fillId="32" borderId="0" applyNumberFormat="0" applyBorder="0" applyAlignment="0" applyProtection="0">
      <alignment vertical="center"/>
    </xf>
    <xf numFmtId="0" fontId="49" fillId="33" borderId="0" applyNumberFormat="0" applyBorder="0" applyAlignment="0" applyProtection="0">
      <alignment vertical="center"/>
    </xf>
    <xf numFmtId="0" fontId="49" fillId="34" borderId="0" applyNumberFormat="0" applyBorder="0" applyAlignment="0" applyProtection="0">
      <alignment vertical="center"/>
    </xf>
    <xf numFmtId="0" fontId="48" fillId="35" borderId="0" applyNumberFormat="0" applyBorder="0" applyAlignment="0" applyProtection="0">
      <alignment vertical="center"/>
    </xf>
    <xf numFmtId="0" fontId="48" fillId="36" borderId="0" applyNumberFormat="0" applyBorder="0" applyAlignment="0" applyProtection="0">
      <alignment vertical="center"/>
    </xf>
    <xf numFmtId="0" fontId="49" fillId="37" borderId="0" applyNumberFormat="0" applyBorder="0" applyAlignment="0" applyProtection="0">
      <alignment vertical="center"/>
    </xf>
    <xf numFmtId="0" fontId="49" fillId="38" borderId="0" applyNumberFormat="0" applyBorder="0" applyAlignment="0" applyProtection="0">
      <alignment vertical="center"/>
    </xf>
    <xf numFmtId="0" fontId="48" fillId="39" borderId="0" applyNumberFormat="0" applyBorder="0" applyAlignment="0" applyProtection="0">
      <alignment vertical="center"/>
    </xf>
    <xf numFmtId="0" fontId="18" fillId="0" borderId="0">
      <alignment vertical="center"/>
    </xf>
  </cellStyleXfs>
  <cellXfs count="93">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49" fontId="0" fillId="0" borderId="1" xfId="0" applyNumberFormat="1" applyBorder="1" applyAlignment="1">
      <alignment horizontal="center"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lignment vertical="center"/>
    </xf>
    <xf numFmtId="0" fontId="0" fillId="0" borderId="2" xfId="0" applyBorder="1" applyAlignment="1">
      <alignment horizontal="center" vertical="center"/>
    </xf>
    <xf numFmtId="58"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0" fillId="0" borderId="0" xfId="0" applyProtection="1">
      <alignment vertical="center"/>
      <protection locked="0"/>
    </xf>
    <xf numFmtId="0" fontId="3" fillId="0" borderId="0" xfId="0" applyFont="1" applyProtection="1">
      <alignmen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5" fillId="0" borderId="0" xfId="0" applyFont="1" applyAlignment="1" applyProtection="1">
      <alignment vertical="center" wrapText="1"/>
      <protection locked="0"/>
    </xf>
    <xf numFmtId="0" fontId="5" fillId="0" borderId="0" xfId="0" applyFont="1" applyAlignment="1" applyProtection="1">
      <alignment horizontal="right" vertical="center" wrapText="1"/>
      <protection locked="0"/>
    </xf>
    <xf numFmtId="0" fontId="5" fillId="0" borderId="0" xfId="0" applyFont="1" applyAlignment="1" applyProtection="1">
      <alignment horizontal="left" vertical="center" wrapText="1"/>
      <protection locked="0"/>
    </xf>
    <xf numFmtId="49" fontId="5" fillId="0" borderId="0" xfId="0" applyNumberFormat="1" applyFont="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6" fillId="0" borderId="2" xfId="0" applyFont="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176" fontId="5" fillId="0" borderId="2" xfId="0" applyNumberFormat="1" applyFont="1" applyBorder="1" applyAlignment="1" applyProtection="1">
      <alignment horizontal="left" vertical="center" wrapText="1"/>
      <protection locked="0"/>
    </xf>
    <xf numFmtId="49" fontId="5" fillId="0" borderId="0" xfId="0" applyNumberFormat="1" applyFont="1" applyAlignment="1" applyProtection="1">
      <alignment horizontal="center" wrapText="1"/>
      <protection locked="0"/>
    </xf>
    <xf numFmtId="49" fontId="5" fillId="0" borderId="0" xfId="0" applyNumberFormat="1" applyFont="1" applyAlignment="1" applyProtection="1">
      <alignment wrapText="1"/>
      <protection locked="0"/>
    </xf>
    <xf numFmtId="14" fontId="5" fillId="0" borderId="0" xfId="0" applyNumberFormat="1" applyFont="1" applyAlignment="1" applyProtection="1">
      <alignment vertical="center" wrapText="1"/>
      <protection locked="0"/>
    </xf>
    <xf numFmtId="14" fontId="5" fillId="0" borderId="0" xfId="0" applyNumberFormat="1" applyFont="1" applyAlignment="1" applyProtection="1">
      <alignment horizontal="center" vertical="center" wrapText="1"/>
      <protection locked="0"/>
    </xf>
    <xf numFmtId="14" fontId="7" fillId="0" borderId="2" xfId="0" applyNumberFormat="1" applyFont="1" applyBorder="1" applyAlignment="1" applyProtection="1">
      <alignment horizontal="center" vertical="center" wrapText="1"/>
      <protection locked="0"/>
    </xf>
    <xf numFmtId="0" fontId="5" fillId="0" borderId="2" xfId="0" applyNumberFormat="1" applyFont="1" applyBorder="1" applyAlignment="1" applyProtection="1">
      <alignment horizontal="center" vertical="center" wrapText="1"/>
      <protection locked="0"/>
    </xf>
    <xf numFmtId="14" fontId="5" fillId="0" borderId="0" xfId="0" applyNumberFormat="1" applyFont="1" applyAlignment="1" applyProtection="1">
      <alignment horizontal="left" vertical="center" wrapText="1"/>
      <protection locked="0"/>
    </xf>
    <xf numFmtId="177" fontId="5" fillId="0" borderId="0" xfId="0" applyNumberFormat="1" applyFont="1" applyAlignment="1" applyProtection="1">
      <alignment horizontal="center"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 fillId="0" borderId="0" xfId="0" applyFont="1" applyBorder="1" applyAlignment="1" applyProtection="1">
      <alignment horizontal="left" vertical="center"/>
      <protection locked="0"/>
    </xf>
    <xf numFmtId="0" fontId="8" fillId="0" borderId="0" xfId="0" applyFont="1" applyAlignment="1" applyProtection="1">
      <alignment horizontal="center" vertical="center" wrapText="1"/>
      <protection locked="0"/>
    </xf>
    <xf numFmtId="0" fontId="9" fillId="0" borderId="2" xfId="0" applyFont="1" applyBorder="1" applyAlignment="1" applyProtection="1">
      <alignment horizontal="center" vertical="center" wrapText="1"/>
      <protection locked="0"/>
    </xf>
    <xf numFmtId="0" fontId="10" fillId="0" borderId="2" xfId="0" applyFont="1" applyBorder="1" applyAlignment="1" applyProtection="1">
      <alignment horizontal="center" vertical="center" wrapText="1"/>
      <protection locked="0"/>
    </xf>
    <xf numFmtId="0" fontId="11" fillId="0" borderId="2" xfId="0" applyFont="1" applyBorder="1" applyAlignment="1" applyProtection="1">
      <alignment horizontal="center" vertical="center" wrapText="1"/>
      <protection locked="0"/>
    </xf>
    <xf numFmtId="0" fontId="11" fillId="0" borderId="3"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0" fontId="11" fillId="0" borderId="5" xfId="0"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1" fillId="0" borderId="7"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9" xfId="0" applyFont="1" applyBorder="1" applyAlignment="1" applyProtection="1">
      <alignment horizontal="center" vertical="center" wrapText="1"/>
      <protection locked="0"/>
    </xf>
    <xf numFmtId="0" fontId="12" fillId="0" borderId="6" xfId="0" applyFont="1" applyBorder="1" applyAlignment="1" applyProtection="1">
      <alignment horizontal="center" vertical="center" wrapText="1"/>
      <protection locked="0"/>
    </xf>
    <xf numFmtId="0" fontId="10" fillId="0" borderId="6" xfId="0" applyFont="1" applyBorder="1" applyAlignment="1" applyProtection="1">
      <alignment horizontal="center" vertical="center" wrapText="1"/>
      <protection locked="0"/>
    </xf>
    <xf numFmtId="14" fontId="10" fillId="0" borderId="6" xfId="0" applyNumberFormat="1" applyFont="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14" fillId="0" borderId="2" xfId="0" applyFont="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14" fontId="11" fillId="0" borderId="2" xfId="0" applyNumberFormat="1" applyFont="1" applyBorder="1" applyAlignment="1" applyProtection="1">
      <alignment horizontal="center" vertical="center" wrapText="1"/>
      <protection locked="0"/>
    </xf>
    <xf numFmtId="14" fontId="0" fillId="0" borderId="0" xfId="0" applyNumberFormat="1" applyAlignment="1" applyProtection="1">
      <alignment horizontal="center" vertical="center" wrapText="1"/>
      <protection locked="0"/>
    </xf>
    <xf numFmtId="0" fontId="0" fillId="0" borderId="0" xfId="0" applyFont="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14" fontId="11" fillId="0" borderId="6" xfId="0" applyNumberFormat="1" applyFont="1" applyBorder="1" applyAlignment="1" applyProtection="1">
      <alignment horizontal="center" vertical="center" wrapText="1"/>
      <protection locked="0"/>
    </xf>
    <xf numFmtId="0" fontId="0" fillId="0" borderId="10" xfId="0" applyBorder="1" applyAlignment="1">
      <alignment horizontal="center" vertical="center"/>
    </xf>
    <xf numFmtId="0" fontId="0" fillId="3" borderId="0" xfId="0" applyFill="1" applyAlignment="1">
      <alignment horizontal="center" vertical="center"/>
    </xf>
    <xf numFmtId="0" fontId="0" fillId="0" borderId="0" xfId="0" applyFill="1" applyAlignment="1">
      <alignment horizontal="center" vertical="center"/>
    </xf>
    <xf numFmtId="0" fontId="0" fillId="0" borderId="1" xfId="0" applyFont="1" applyBorder="1" applyAlignment="1">
      <alignment horizontal="center" vertical="center" wrapText="1"/>
    </xf>
    <xf numFmtId="0" fontId="0" fillId="0" borderId="0" xfId="0" applyFont="1" applyAlignment="1">
      <alignment horizontal="center" vertical="center" wrapText="1"/>
    </xf>
    <xf numFmtId="0" fontId="0" fillId="0" borderId="0" xfId="0" applyFont="1" applyBorder="1" applyAlignment="1">
      <alignment horizontal="left" vertical="center" wrapText="1"/>
    </xf>
    <xf numFmtId="0" fontId="16" fillId="2" borderId="1" xfId="0" applyNumberFormat="1" applyFont="1" applyFill="1" applyBorder="1" applyAlignment="1">
      <alignment horizontal="center" vertical="center" wrapText="1"/>
    </xf>
    <xf numFmtId="14" fontId="0" fillId="0" borderId="0" xfId="0" applyNumberFormat="1">
      <alignment vertical="center"/>
    </xf>
    <xf numFmtId="0" fontId="17" fillId="4" borderId="0" xfId="0" applyFont="1" applyFill="1" applyAlignment="1" applyProtection="1">
      <alignment horizontal="left" vertical="center"/>
    </xf>
    <xf numFmtId="0" fontId="18" fillId="5" borderId="0" xfId="0" applyFont="1" applyFill="1" applyAlignment="1" applyProtection="1">
      <alignment vertical="center"/>
    </xf>
    <xf numFmtId="0" fontId="19" fillId="5" borderId="0" xfId="0" applyFont="1" applyFill="1" applyAlignment="1" applyProtection="1">
      <alignment horizontal="left" vertical="center"/>
    </xf>
    <xf numFmtId="0" fontId="19" fillId="6" borderId="0" xfId="0" applyFont="1" applyFill="1" applyAlignment="1" applyProtection="1">
      <alignment horizontal="left" vertical="center"/>
    </xf>
    <xf numFmtId="49" fontId="20" fillId="6" borderId="0" xfId="0" applyNumberFormat="1" applyFont="1" applyFill="1" applyAlignment="1" applyProtection="1">
      <alignment horizontal="right" vertical="center"/>
    </xf>
    <xf numFmtId="0" fontId="21" fillId="6" borderId="0" xfId="0" applyFont="1" applyFill="1" applyAlignment="1" applyProtection="1">
      <alignment horizontal="left" vertical="center"/>
    </xf>
    <xf numFmtId="0" fontId="6" fillId="4" borderId="0" xfId="0" applyFont="1" applyFill="1" applyAlignment="1" applyProtection="1">
      <alignment horizontal="center" vertical="center"/>
    </xf>
    <xf numFmtId="49" fontId="22" fillId="4" borderId="0" xfId="0" applyNumberFormat="1" applyFont="1" applyFill="1" applyAlignment="1" applyProtection="1">
      <alignment horizontal="left" vertical="center"/>
    </xf>
    <xf numFmtId="49" fontId="23" fillId="5"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7" borderId="0" xfId="0" applyNumberFormat="1" applyFont="1" applyFill="1" applyAlignment="1" applyProtection="1">
      <alignment horizontal="center" vertical="center" wrapText="1"/>
    </xf>
    <xf numFmtId="0" fontId="25" fillId="7" borderId="0" xfId="0" applyFont="1" applyFill="1" applyAlignment="1" applyProtection="1">
      <alignment horizontal="center" vertical="center" wrapText="1"/>
    </xf>
    <xf numFmtId="178" fontId="26" fillId="7" borderId="0" xfId="0" applyNumberFormat="1" applyFont="1" applyFill="1" applyAlignment="1" applyProtection="1">
      <alignment horizontal="right" vertical="center" indent="1"/>
    </xf>
    <xf numFmtId="0" fontId="27" fillId="7" borderId="0" xfId="0" applyFont="1" applyFill="1" applyAlignment="1" applyProtection="1">
      <alignment horizontal="center" vertical="center" wrapText="1"/>
    </xf>
    <xf numFmtId="49" fontId="25" fillId="7" borderId="0" xfId="0" applyNumberFormat="1" applyFont="1" applyFill="1" applyAlignment="1" applyProtection="1">
      <alignment horizontal="center" vertical="center" wrapText="1"/>
    </xf>
    <xf numFmtId="0" fontId="27" fillId="7" borderId="0" xfId="0" applyFont="1" applyFill="1" applyAlignment="1" applyProtection="1">
      <alignment vertical="center" wrapText="1"/>
    </xf>
    <xf numFmtId="49" fontId="20" fillId="8" borderId="0" xfId="0" applyNumberFormat="1" applyFont="1" applyFill="1" applyAlignment="1" applyProtection="1">
      <alignment horizontal="center" vertical="center" wrapText="1"/>
    </xf>
    <xf numFmtId="0" fontId="16" fillId="8" borderId="0" xfId="0" applyFont="1" applyFill="1" applyAlignment="1" applyProtection="1">
      <alignment horizontal="center" vertical="center" wrapText="1"/>
    </xf>
    <xf numFmtId="0" fontId="21" fillId="8" borderId="0" xfId="0" applyFont="1" applyFill="1" applyAlignment="1" applyProtection="1">
      <alignment horizontal="left" vertical="center"/>
    </xf>
    <xf numFmtId="49" fontId="17" fillId="4" borderId="0" xfId="0" applyNumberFormat="1" applyFont="1" applyFill="1" applyAlignment="1" applyProtection="1">
      <alignment horizontal="left" vertical="center"/>
    </xf>
    <xf numFmtId="0" fontId="5" fillId="9" borderId="0" xfId="0" applyFont="1" applyFill="1" applyAlignment="1">
      <alignment vertical="center"/>
    </xf>
    <xf numFmtId="0" fontId="28" fillId="9" borderId="0" xfId="0" applyFont="1" applyFill="1" applyAlignment="1">
      <alignment vertical="center"/>
    </xf>
    <xf numFmtId="0" fontId="29" fillId="9" borderId="0" xfId="0" applyFont="1" applyFill="1" applyAlignment="1">
      <alignment vertical="center"/>
    </xf>
    <xf numFmtId="0" fontId="29" fillId="9" borderId="0" xfId="0" applyFont="1" applyFill="1" applyBorder="1" applyAlignment="1">
      <alignment vertical="center"/>
    </xf>
    <xf numFmtId="0" fontId="30" fillId="9" borderId="0" xfId="0" applyFont="1" applyFill="1" applyAlignment="1">
      <alignment vertical="center"/>
    </xf>
    <xf numFmtId="0" fontId="30" fillId="9" borderId="0" xfId="0" applyFont="1" applyFill="1" applyBorder="1" applyAlignment="1">
      <alignment vertical="center"/>
    </xf>
    <xf numFmtId="0" fontId="5" fillId="9" borderId="0" xfId="0" applyFont="1" applyFill="1" applyBorder="1" applyAlignment="1">
      <alignment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2" xfId="49"/>
  </cellStyles>
  <tableStyles count="0" defaultTableStyle="TableStyleMedium2" defaultPivotStyle="PivotStyleLight16"/>
  <colors>
    <mruColors>
      <color rgb="002BA981"/>
      <color rgb="002F55B4"/>
      <color rgb="005AD2B4"/>
      <color rgb="005AB4B4"/>
      <color rgb="0036C9E8"/>
      <color rgb="00215967"/>
      <color rgb="002F75B5"/>
      <color rgb="00215971"/>
      <color rgb="0021597B"/>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tyles" Target="styles.xml"/><Relationship Id="rId2" Type="http://schemas.openxmlformats.org/officeDocument/2006/relationships/worksheet" Target="worksheets/sheet2.xml"/><Relationship Id="rId19" Type="http://schemas.microsoft.com/office/2006/relationships/vbaProject" Target="vbaProject.bin"/><Relationship Id="rId18" Type="http://schemas.openxmlformats.org/officeDocument/2006/relationships/sharedStrings" Target="sharedStrings.xml"/><Relationship Id="rId17" Type="http://schemas.openxmlformats.org/officeDocument/2006/relationships/theme" Target="theme/theme1.xml"/><Relationship Id="rId16" Type="http://schemas.openxmlformats.org/officeDocument/2006/relationships/customXml" Target="../customXml/item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hyperlink" Target="#&#36864;&#36135;&#21333;!A1"/><Relationship Id="rId8" Type="http://schemas.openxmlformats.org/officeDocument/2006/relationships/hyperlink" Target="#&#36134;&#21495;&#31649;&#29702;!A1"/><Relationship Id="rId7" Type="http://schemas.openxmlformats.org/officeDocument/2006/relationships/hyperlink" Target="#&#20986;&#24211;&#21333;!A1"/><Relationship Id="rId6" Type="http://schemas.openxmlformats.org/officeDocument/2006/relationships/hyperlink" Target="#&#21592;&#24037;&#24037;&#26102;&#26597;&#35810;!A1"/><Relationship Id="rId5" Type="http://schemas.openxmlformats.org/officeDocument/2006/relationships/hyperlink" Target="#&#24037;&#33402;&#35268;&#31243;&#21333;!A1"/><Relationship Id="rId4" Type="http://schemas.openxmlformats.org/officeDocument/2006/relationships/hyperlink" Target="#&#24320;&#31080;&#21512;&#21516;!A1"/><Relationship Id="rId3" Type="http://schemas.openxmlformats.org/officeDocument/2006/relationships/hyperlink" Target="#&#24050;&#23436;&#25104;&#21512;&#21516;!A1"/><Relationship Id="rId2" Type="http://schemas.openxmlformats.org/officeDocument/2006/relationships/hyperlink" Target="#&#21512;&#21516;&#35760;&#24405;!A1"/><Relationship Id="rId11" Type="http://schemas.openxmlformats.org/officeDocument/2006/relationships/hyperlink" Target="#&#37197;&#32622;&#34920;!A1"/><Relationship Id="rId10" Type="http://schemas.openxmlformats.org/officeDocument/2006/relationships/hyperlink" Target="#&#36864;&#36135;&#35760;&#24405;&#26597;&#3581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9525</xdr:rowOff>
    </xdr:from>
    <xdr:to>
      <xdr:col>43</xdr:col>
      <xdr:colOff>45085</xdr:colOff>
      <xdr:row>23</xdr:row>
      <xdr:rowOff>210820</xdr:rowOff>
    </xdr:to>
    <xdr:grpSp>
      <xdr:nvGrpSpPr>
        <xdr:cNvPr id="2" name="组合 1"/>
        <xdr:cNvGrpSpPr/>
      </xdr:nvGrpSpPr>
      <xdr:grpSpPr>
        <a:xfrm>
          <a:off x="9525" y="952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133985</xdr:colOff>
      <xdr:row>21</xdr:row>
      <xdr:rowOff>86360</xdr:rowOff>
    </xdr:from>
    <xdr:to>
      <xdr:col>42</xdr:col>
      <xdr:colOff>209550</xdr:colOff>
      <xdr:row>23</xdr:row>
      <xdr:rowOff>104140</xdr:rowOff>
    </xdr:to>
    <xdr:sp>
      <xdr:nvSpPr>
        <xdr:cNvPr id="31" name="圆角矩形 24">
          <a:hlinkClick xmlns:r="http://schemas.openxmlformats.org/officeDocument/2006/relationships" r:id="rId1"/>
        </xdr:cNvPr>
        <xdr:cNvSpPr/>
      </xdr:nvSpPr>
      <xdr:spPr>
        <a:xfrm>
          <a:off x="10354310"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29210</xdr:colOff>
      <xdr:row>6</xdr:row>
      <xdr:rowOff>104775</xdr:rowOff>
    </xdr:from>
    <xdr:to>
      <xdr:col>19</xdr:col>
      <xdr:colOff>1270</xdr:colOff>
      <xdr:row>11</xdr:row>
      <xdr:rowOff>0</xdr:rowOff>
    </xdr:to>
    <xdr:sp>
      <xdr:nvSpPr>
        <xdr:cNvPr id="3" name="圆角矩形 3">
          <a:hlinkClick xmlns:r="http://schemas.openxmlformats.org/officeDocument/2006/relationships" r:id="rId2"/>
        </xdr:cNvPr>
        <xdr:cNvSpPr/>
      </xdr:nvSpPr>
      <xdr:spPr>
        <a:xfrm>
          <a:off x="3620135" y="140779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合同记录</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27305</xdr:colOff>
      <xdr:row>6</xdr:row>
      <xdr:rowOff>104775</xdr:rowOff>
    </xdr:from>
    <xdr:to>
      <xdr:col>25</xdr:col>
      <xdr:colOff>275590</xdr:colOff>
      <xdr:row>11</xdr:row>
      <xdr:rowOff>0</xdr:rowOff>
    </xdr:to>
    <xdr:sp>
      <xdr:nvSpPr>
        <xdr:cNvPr id="4" name="圆角矩形 3">
          <a:hlinkClick xmlns:r="http://schemas.openxmlformats.org/officeDocument/2006/relationships" r:id="rId3"/>
        </xdr:cNvPr>
        <xdr:cNvSpPr/>
      </xdr:nvSpPr>
      <xdr:spPr>
        <a:xfrm>
          <a:off x="5551805" y="140779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已完成合同</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25400</xdr:colOff>
      <xdr:row>6</xdr:row>
      <xdr:rowOff>104775</xdr:rowOff>
    </xdr:from>
    <xdr:to>
      <xdr:col>32</xdr:col>
      <xdr:colOff>273685</xdr:colOff>
      <xdr:row>11</xdr:row>
      <xdr:rowOff>0</xdr:rowOff>
    </xdr:to>
    <xdr:sp>
      <xdr:nvSpPr>
        <xdr:cNvPr id="5" name="圆角矩形 3">
          <a:hlinkClick xmlns:r="http://schemas.openxmlformats.org/officeDocument/2006/relationships" r:id="rId4"/>
        </xdr:cNvPr>
        <xdr:cNvSpPr/>
      </xdr:nvSpPr>
      <xdr:spPr>
        <a:xfrm>
          <a:off x="7483475" y="140779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开票合同</a:t>
          </a:r>
          <a:endParaRPr lang="zh-CN" altLang="en-US" sz="1600" b="1">
            <a:latin typeface="微软雅黑" panose="020B0503020204020204" charset="-122"/>
            <a:ea typeface="微软雅黑" panose="020B0503020204020204" charset="-122"/>
          </a:endParaRPr>
        </a:p>
      </xdr:txBody>
    </xdr:sp>
    <xdr:clientData/>
  </xdr:twoCellAnchor>
  <xdr:twoCellAnchor>
    <xdr:from>
      <xdr:col>13</xdr:col>
      <xdr:colOff>29210</xdr:colOff>
      <xdr:row>13</xdr:row>
      <xdr:rowOff>165735</xdr:rowOff>
    </xdr:from>
    <xdr:to>
      <xdr:col>19</xdr:col>
      <xdr:colOff>1905</xdr:colOff>
      <xdr:row>18</xdr:row>
      <xdr:rowOff>60960</xdr:rowOff>
    </xdr:to>
    <xdr:sp>
      <xdr:nvSpPr>
        <xdr:cNvPr id="6" name="圆角矩形 3">
          <a:hlinkClick xmlns:r="http://schemas.openxmlformats.org/officeDocument/2006/relationships" r:id="rId5"/>
        </xdr:cNvPr>
        <xdr:cNvSpPr/>
      </xdr:nvSpPr>
      <xdr:spPr>
        <a:xfrm>
          <a:off x="3620135" y="2988945"/>
          <a:ext cx="1630045"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工艺规程单</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25400</xdr:colOff>
      <xdr:row>13</xdr:row>
      <xdr:rowOff>165735</xdr:rowOff>
    </xdr:from>
    <xdr:to>
      <xdr:col>32</xdr:col>
      <xdr:colOff>273685</xdr:colOff>
      <xdr:row>18</xdr:row>
      <xdr:rowOff>60960</xdr:rowOff>
    </xdr:to>
    <xdr:sp>
      <xdr:nvSpPr>
        <xdr:cNvPr id="7" name="圆角矩形 3">
          <a:hlinkClick xmlns:r="http://schemas.openxmlformats.org/officeDocument/2006/relationships" r:id="rId6"/>
        </xdr:cNvPr>
        <xdr:cNvSpPr/>
      </xdr:nvSpPr>
      <xdr:spPr>
        <a:xfrm>
          <a:off x="7483475" y="298894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员工工时查询</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27305</xdr:colOff>
      <xdr:row>13</xdr:row>
      <xdr:rowOff>165735</xdr:rowOff>
    </xdr:from>
    <xdr:to>
      <xdr:col>26</xdr:col>
      <xdr:colOff>0</xdr:colOff>
      <xdr:row>18</xdr:row>
      <xdr:rowOff>60960</xdr:rowOff>
    </xdr:to>
    <xdr:sp>
      <xdr:nvSpPr>
        <xdr:cNvPr id="8" name="圆角矩形 3">
          <a:hlinkClick xmlns:r="http://schemas.openxmlformats.org/officeDocument/2006/relationships" r:id="rId7"/>
        </xdr:cNvPr>
        <xdr:cNvSpPr/>
      </xdr:nvSpPr>
      <xdr:spPr>
        <a:xfrm>
          <a:off x="5551805" y="2988945"/>
          <a:ext cx="1630045"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出库单</a:t>
          </a:r>
          <a:endParaRPr lang="zh-CN" altLang="en-US" sz="1600" b="1">
            <a:latin typeface="微软雅黑" panose="020B0503020204020204" charset="-122"/>
            <a:ea typeface="微软雅黑" panose="020B0503020204020204" charset="-122"/>
          </a:endParaRPr>
        </a:p>
      </xdr:txBody>
    </xdr:sp>
    <xdr:clientData/>
  </xdr:twoCellAnchor>
  <xdr:twoCellAnchor>
    <xdr:from>
      <xdr:col>31</xdr:col>
      <xdr:colOff>55880</xdr:colOff>
      <xdr:row>21</xdr:row>
      <xdr:rowOff>86360</xdr:rowOff>
    </xdr:from>
    <xdr:to>
      <xdr:col>36</xdr:col>
      <xdr:colOff>131445</xdr:colOff>
      <xdr:row>23</xdr:row>
      <xdr:rowOff>104140</xdr:rowOff>
    </xdr:to>
    <xdr:sp>
      <xdr:nvSpPr>
        <xdr:cNvPr id="10" name="圆角矩形 24">
          <a:hlinkClick xmlns:r="http://schemas.openxmlformats.org/officeDocument/2006/relationships" r:id="rId8"/>
        </xdr:cNvPr>
        <xdr:cNvSpPr/>
      </xdr:nvSpPr>
      <xdr:spPr>
        <a:xfrm>
          <a:off x="861885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账号管理</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34</xdr:col>
      <xdr:colOff>23495</xdr:colOff>
      <xdr:row>6</xdr:row>
      <xdr:rowOff>104775</xdr:rowOff>
    </xdr:from>
    <xdr:to>
      <xdr:col>39</xdr:col>
      <xdr:colOff>271780</xdr:colOff>
      <xdr:row>11</xdr:row>
      <xdr:rowOff>0</xdr:rowOff>
    </xdr:to>
    <xdr:sp>
      <xdr:nvSpPr>
        <xdr:cNvPr id="11" name="圆角矩形 3">
          <a:hlinkClick xmlns:r="http://schemas.openxmlformats.org/officeDocument/2006/relationships" r:id="rId9"/>
        </xdr:cNvPr>
        <xdr:cNvSpPr/>
      </xdr:nvSpPr>
      <xdr:spPr>
        <a:xfrm>
          <a:off x="9415145" y="140779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退货单</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22860</xdr:colOff>
      <xdr:row>13</xdr:row>
      <xdr:rowOff>165735</xdr:rowOff>
    </xdr:from>
    <xdr:to>
      <xdr:col>39</xdr:col>
      <xdr:colOff>271780</xdr:colOff>
      <xdr:row>18</xdr:row>
      <xdr:rowOff>60960</xdr:rowOff>
    </xdr:to>
    <xdr:sp>
      <xdr:nvSpPr>
        <xdr:cNvPr id="12" name="圆角矩形 3">
          <a:hlinkClick xmlns:r="http://schemas.openxmlformats.org/officeDocument/2006/relationships" r:id="rId10"/>
        </xdr:cNvPr>
        <xdr:cNvSpPr/>
      </xdr:nvSpPr>
      <xdr:spPr>
        <a:xfrm>
          <a:off x="9414510" y="2988945"/>
          <a:ext cx="1630045"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退货记录查询</a:t>
          </a:r>
          <a:endParaRPr lang="zh-CN" altLang="en-US" sz="1600" b="1">
            <a:latin typeface="微软雅黑" panose="020B0503020204020204" charset="-122"/>
            <a:ea typeface="微软雅黑" panose="020B0503020204020204" charset="-122"/>
          </a:endParaRPr>
        </a:p>
      </xdr:txBody>
    </xdr:sp>
    <xdr:clientData/>
  </xdr:twoCellAnchor>
  <xdr:twoCellAnchor>
    <xdr:from>
      <xdr:col>24</xdr:col>
      <xdr:colOff>254000</xdr:colOff>
      <xdr:row>21</xdr:row>
      <xdr:rowOff>86360</xdr:rowOff>
    </xdr:from>
    <xdr:to>
      <xdr:col>30</xdr:col>
      <xdr:colOff>53340</xdr:colOff>
      <xdr:row>23</xdr:row>
      <xdr:rowOff>104140</xdr:rowOff>
    </xdr:to>
    <xdr:sp>
      <xdr:nvSpPr>
        <xdr:cNvPr id="13" name="圆角矩形 24">
          <a:hlinkClick xmlns:r="http://schemas.openxmlformats.org/officeDocument/2006/relationships" r:id="rId11"/>
        </xdr:cNvPr>
        <xdr:cNvSpPr/>
      </xdr:nvSpPr>
      <xdr:spPr>
        <a:xfrm>
          <a:off x="6883400"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配置表</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1459230</xdr:colOff>
      <xdr:row>0</xdr:row>
      <xdr:rowOff>1905</xdr:rowOff>
    </xdr:from>
    <xdr:to>
      <xdr:col>3</xdr:col>
      <xdr:colOff>44450</xdr:colOff>
      <xdr:row>0</xdr:row>
      <xdr:rowOff>381635</xdr:rowOff>
    </xdr:to>
    <xdr:sp macro="[0]!refresh_04">
      <xdr:nvSpPr>
        <xdr:cNvPr id="2" name="矩形 1"/>
        <xdr:cNvSpPr/>
      </xdr:nvSpPr>
      <xdr:spPr>
        <a:xfrm>
          <a:off x="1640205" y="1905"/>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0</xdr:row>
      <xdr:rowOff>0</xdr:rowOff>
    </xdr:from>
    <xdr:to>
      <xdr:col>2</xdr:col>
      <xdr:colOff>1114425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3</xdr:col>
      <xdr:colOff>389255</xdr:colOff>
      <xdr:row>0</xdr:row>
      <xdr:rowOff>1905</xdr:rowOff>
    </xdr:from>
    <xdr:to>
      <xdr:col>3</xdr:col>
      <xdr:colOff>1326515</xdr:colOff>
      <xdr:row>0</xdr:row>
      <xdr:rowOff>381635</xdr:rowOff>
    </xdr:to>
    <xdr:sp macro="[0]!insert_04">
      <xdr:nvSpPr>
        <xdr:cNvPr id="4" name="矩形 3"/>
        <xdr:cNvSpPr/>
      </xdr:nvSpPr>
      <xdr:spPr>
        <a:xfrm>
          <a:off x="2922270" y="1905"/>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166370</xdr:colOff>
      <xdr:row>0</xdr:row>
      <xdr:rowOff>635</xdr:rowOff>
    </xdr:from>
    <xdr:to>
      <xdr:col>4</xdr:col>
      <xdr:colOff>1103630</xdr:colOff>
      <xdr:row>0</xdr:row>
      <xdr:rowOff>380365</xdr:rowOff>
    </xdr:to>
    <xdr:sp macro="[0]!delete_04">
      <xdr:nvSpPr>
        <xdr:cNvPr id="5" name="矩形 4"/>
        <xdr:cNvSpPr/>
      </xdr:nvSpPr>
      <xdr:spPr>
        <a:xfrm>
          <a:off x="4204335" y="635"/>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删除选中</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1477010</xdr:colOff>
      <xdr:row>0</xdr:row>
      <xdr:rowOff>10160</xdr:rowOff>
    </xdr:from>
    <xdr:to>
      <xdr:col>4</xdr:col>
      <xdr:colOff>2414270</xdr:colOff>
      <xdr:row>0</xdr:row>
      <xdr:rowOff>389890</xdr:rowOff>
    </xdr:to>
    <xdr:sp macro="[0]!sel_04_show">
      <xdr:nvSpPr>
        <xdr:cNvPr id="6" name="矩形 5"/>
        <xdr:cNvSpPr/>
      </xdr:nvSpPr>
      <xdr:spPr>
        <a:xfrm>
          <a:off x="5514975" y="10160"/>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条件查询</a:t>
          </a:r>
          <a:endParaRPr lang="zh-CN" altLang="en-US" sz="14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1313180</xdr:colOff>
      <xdr:row>0</xdr:row>
      <xdr:rowOff>2540</xdr:rowOff>
    </xdr:from>
    <xdr:to>
      <xdr:col>2</xdr:col>
      <xdr:colOff>2250440</xdr:colOff>
      <xdr:row>0</xdr:row>
      <xdr:rowOff>381635</xdr:rowOff>
    </xdr:to>
    <xdr:sp macro="[0]!refresh_06">
      <xdr:nvSpPr>
        <xdr:cNvPr id="2" name="矩形 1"/>
        <xdr:cNvSpPr/>
      </xdr:nvSpPr>
      <xdr:spPr>
        <a:xfrm>
          <a:off x="1665605" y="254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2</xdr:col>
      <xdr:colOff>942975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2</xdr:col>
      <xdr:colOff>2620645</xdr:colOff>
      <xdr:row>0</xdr:row>
      <xdr:rowOff>2540</xdr:rowOff>
    </xdr:from>
    <xdr:to>
      <xdr:col>3</xdr:col>
      <xdr:colOff>871855</xdr:colOff>
      <xdr:row>0</xdr:row>
      <xdr:rowOff>381635</xdr:rowOff>
    </xdr:to>
    <xdr:sp macro="[0]!insert_06">
      <xdr:nvSpPr>
        <xdr:cNvPr id="4" name="矩形 3"/>
        <xdr:cNvSpPr/>
      </xdr:nvSpPr>
      <xdr:spPr>
        <a:xfrm>
          <a:off x="2973070" y="254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280035</xdr:colOff>
      <xdr:row>0</xdr:row>
      <xdr:rowOff>1270</xdr:rowOff>
    </xdr:from>
    <xdr:to>
      <xdr:col>4</xdr:col>
      <xdr:colOff>1217295</xdr:colOff>
      <xdr:row>0</xdr:row>
      <xdr:rowOff>380365</xdr:rowOff>
    </xdr:to>
    <xdr:sp macro="[0]!delete_06">
      <xdr:nvSpPr>
        <xdr:cNvPr id="5" name="矩形 4"/>
        <xdr:cNvSpPr/>
      </xdr:nvSpPr>
      <xdr:spPr>
        <a:xfrm>
          <a:off x="4280535" y="127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删除选中</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1587500</xdr:colOff>
      <xdr:row>0</xdr:row>
      <xdr:rowOff>1270</xdr:rowOff>
    </xdr:from>
    <xdr:to>
      <xdr:col>5</xdr:col>
      <xdr:colOff>467360</xdr:colOff>
      <xdr:row>0</xdr:row>
      <xdr:rowOff>380365</xdr:rowOff>
    </xdr:to>
    <xdr:sp macro="[0]!zhuangtai_duizhang_06">
      <xdr:nvSpPr>
        <xdr:cNvPr id="6" name="矩形 5"/>
        <xdr:cNvSpPr/>
      </xdr:nvSpPr>
      <xdr:spPr>
        <a:xfrm>
          <a:off x="5588000" y="127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设置对账</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5</xdr:col>
      <xdr:colOff>837565</xdr:colOff>
      <xdr:row>0</xdr:row>
      <xdr:rowOff>635</xdr:rowOff>
    </xdr:from>
    <xdr:to>
      <xdr:col>6</xdr:col>
      <xdr:colOff>812800</xdr:colOff>
      <xdr:row>0</xdr:row>
      <xdr:rowOff>379730</xdr:rowOff>
    </xdr:to>
    <xdr:sp macro="[0]!zhuangtai_kaipiao_06">
      <xdr:nvSpPr>
        <xdr:cNvPr id="7" name="矩形 6"/>
        <xdr:cNvSpPr/>
      </xdr:nvSpPr>
      <xdr:spPr>
        <a:xfrm>
          <a:off x="6895465" y="635"/>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设置开票</a:t>
          </a:r>
          <a:endParaRPr lang="zh-CN" altLang="en-US" sz="14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351155</xdr:colOff>
      <xdr:row>0</xdr:row>
      <xdr:rowOff>2540</xdr:rowOff>
    </xdr:from>
    <xdr:to>
      <xdr:col>4</xdr:col>
      <xdr:colOff>326390</xdr:colOff>
      <xdr:row>0</xdr:row>
      <xdr:rowOff>381635</xdr:rowOff>
    </xdr:to>
    <xdr:sp macro="[0]!refresh_07">
      <xdr:nvSpPr>
        <xdr:cNvPr id="2" name="矩形 1"/>
        <xdr:cNvSpPr/>
      </xdr:nvSpPr>
      <xdr:spPr>
        <a:xfrm>
          <a:off x="1665605" y="254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2</xdr:col>
      <xdr:colOff>942975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696595</xdr:colOff>
      <xdr:row>0</xdr:row>
      <xdr:rowOff>2540</xdr:rowOff>
    </xdr:from>
    <xdr:to>
      <xdr:col>4</xdr:col>
      <xdr:colOff>1633855</xdr:colOff>
      <xdr:row>0</xdr:row>
      <xdr:rowOff>381635</xdr:rowOff>
    </xdr:to>
    <xdr:sp macro="[0]!insert_07">
      <xdr:nvSpPr>
        <xdr:cNvPr id="4" name="矩形 3"/>
        <xdr:cNvSpPr/>
      </xdr:nvSpPr>
      <xdr:spPr>
        <a:xfrm>
          <a:off x="2973070" y="254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2004060</xdr:colOff>
      <xdr:row>0</xdr:row>
      <xdr:rowOff>1270</xdr:rowOff>
    </xdr:from>
    <xdr:to>
      <xdr:col>5</xdr:col>
      <xdr:colOff>283845</xdr:colOff>
      <xdr:row>0</xdr:row>
      <xdr:rowOff>380365</xdr:rowOff>
    </xdr:to>
    <xdr:sp macro="[0]!delete_07">
      <xdr:nvSpPr>
        <xdr:cNvPr id="5" name="矩形 4"/>
        <xdr:cNvSpPr/>
      </xdr:nvSpPr>
      <xdr:spPr>
        <a:xfrm>
          <a:off x="4280535" y="127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删除选中</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5</xdr:col>
      <xdr:colOff>654050</xdr:colOff>
      <xdr:row>0</xdr:row>
      <xdr:rowOff>1270</xdr:rowOff>
    </xdr:from>
    <xdr:to>
      <xdr:col>6</xdr:col>
      <xdr:colOff>629285</xdr:colOff>
      <xdr:row>0</xdr:row>
      <xdr:rowOff>380365</xdr:rowOff>
    </xdr:to>
    <xdr:sp macro="[0]!zhuangtai_kaipiao_07">
      <xdr:nvSpPr>
        <xdr:cNvPr id="6" name="矩形 5"/>
        <xdr:cNvSpPr/>
      </xdr:nvSpPr>
      <xdr:spPr>
        <a:xfrm>
          <a:off x="5588000" y="127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设置开票</a:t>
          </a:r>
          <a:endParaRPr lang="zh-CN" altLang="en-US" sz="14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351155</xdr:colOff>
      <xdr:row>0</xdr:row>
      <xdr:rowOff>2540</xdr:rowOff>
    </xdr:from>
    <xdr:to>
      <xdr:col>4</xdr:col>
      <xdr:colOff>326390</xdr:colOff>
      <xdr:row>0</xdr:row>
      <xdr:rowOff>381635</xdr:rowOff>
    </xdr:to>
    <xdr:sp macro="[0]!sel_08_show">
      <xdr:nvSpPr>
        <xdr:cNvPr id="2" name="矩形 1"/>
        <xdr:cNvSpPr/>
      </xdr:nvSpPr>
      <xdr:spPr>
        <a:xfrm>
          <a:off x="1665605" y="254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查询</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2</xdr:col>
      <xdr:colOff>942975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15</xdr:col>
      <xdr:colOff>0</xdr:colOff>
      <xdr:row>0</xdr:row>
      <xdr:rowOff>0</xdr:rowOff>
    </xdr:from>
    <xdr:to>
      <xdr:col>15</xdr:col>
      <xdr:colOff>937260</xdr:colOff>
      <xdr:row>0</xdr:row>
      <xdr:rowOff>379095</xdr:rowOff>
    </xdr:to>
    <xdr:sp macro="[0]!sel_08_huizong_show">
      <xdr:nvSpPr>
        <xdr:cNvPr id="4" name="矩形 3"/>
        <xdr:cNvSpPr/>
      </xdr:nvSpPr>
      <xdr:spPr>
        <a:xfrm>
          <a:off x="8048625" y="0"/>
          <a:ext cx="937260" cy="37909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查询</a:t>
          </a:r>
          <a:endParaRPr lang="zh-CN" altLang="en-US" sz="14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762635</xdr:colOff>
      <xdr:row>0</xdr:row>
      <xdr:rowOff>3175</xdr:rowOff>
    </xdr:from>
    <xdr:to>
      <xdr:col>4</xdr:col>
      <xdr:colOff>737870</xdr:colOff>
      <xdr:row>0</xdr:row>
      <xdr:rowOff>381635</xdr:rowOff>
    </xdr:to>
    <xdr:sp macro="[0]!refresh_05">
      <xdr:nvSpPr>
        <xdr:cNvPr id="2" name="矩形 1"/>
        <xdr:cNvSpPr/>
      </xdr:nvSpPr>
      <xdr:spPr>
        <a:xfrm>
          <a:off x="1648460" y="3175"/>
          <a:ext cx="937260" cy="37846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3</xdr:col>
      <xdr:colOff>409575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1090930</xdr:colOff>
      <xdr:row>0</xdr:row>
      <xdr:rowOff>3175</xdr:rowOff>
    </xdr:from>
    <xdr:to>
      <xdr:col>5</xdr:col>
      <xdr:colOff>313690</xdr:colOff>
      <xdr:row>0</xdr:row>
      <xdr:rowOff>381635</xdr:rowOff>
    </xdr:to>
    <xdr:sp macro="[0]!add_05">
      <xdr:nvSpPr>
        <xdr:cNvPr id="4" name="矩形 3"/>
        <xdr:cNvSpPr/>
      </xdr:nvSpPr>
      <xdr:spPr>
        <a:xfrm>
          <a:off x="2938780" y="3175"/>
          <a:ext cx="937260" cy="37846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5</xdr:col>
      <xdr:colOff>666750</xdr:colOff>
      <xdr:row>0</xdr:row>
      <xdr:rowOff>1905</xdr:rowOff>
    </xdr:from>
    <xdr:to>
      <xdr:col>6</xdr:col>
      <xdr:colOff>689610</xdr:colOff>
      <xdr:row>0</xdr:row>
      <xdr:rowOff>380365</xdr:rowOff>
    </xdr:to>
    <xdr:sp macro="[0]!delete_05">
      <xdr:nvSpPr>
        <xdr:cNvPr id="5" name="矩形 4"/>
        <xdr:cNvSpPr/>
      </xdr:nvSpPr>
      <xdr:spPr>
        <a:xfrm>
          <a:off x="4229100" y="1905"/>
          <a:ext cx="937260" cy="37846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删除选中</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6</xdr:col>
      <xdr:colOff>1042670</xdr:colOff>
      <xdr:row>0</xdr:row>
      <xdr:rowOff>1905</xdr:rowOff>
    </xdr:from>
    <xdr:to>
      <xdr:col>7</xdr:col>
      <xdr:colOff>65405</xdr:colOff>
      <xdr:row>0</xdr:row>
      <xdr:rowOff>380365</xdr:rowOff>
    </xdr:to>
    <xdr:sp macro="[0]!add_row_05">
      <xdr:nvSpPr>
        <xdr:cNvPr id="6" name="矩形 5"/>
        <xdr:cNvSpPr/>
      </xdr:nvSpPr>
      <xdr:spPr>
        <a:xfrm>
          <a:off x="5519420" y="1905"/>
          <a:ext cx="937260" cy="37846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加一行</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7</xdr:col>
      <xdr:colOff>418465</xdr:colOff>
      <xdr:row>0</xdr:row>
      <xdr:rowOff>1905</xdr:rowOff>
    </xdr:from>
    <xdr:to>
      <xdr:col>8</xdr:col>
      <xdr:colOff>393700</xdr:colOff>
      <xdr:row>0</xdr:row>
      <xdr:rowOff>380365</xdr:rowOff>
    </xdr:to>
    <xdr:sp macro="[0]!del_row_05">
      <xdr:nvSpPr>
        <xdr:cNvPr id="7" name="矩形 6"/>
        <xdr:cNvSpPr/>
      </xdr:nvSpPr>
      <xdr:spPr>
        <a:xfrm>
          <a:off x="6809740" y="1905"/>
          <a:ext cx="937260" cy="37846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减一行</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8</xdr:col>
      <xdr:colOff>752475</xdr:colOff>
      <xdr:row>0</xdr:row>
      <xdr:rowOff>0</xdr:rowOff>
    </xdr:from>
    <xdr:to>
      <xdr:col>9</xdr:col>
      <xdr:colOff>422910</xdr:colOff>
      <xdr:row>0</xdr:row>
      <xdr:rowOff>378460</xdr:rowOff>
    </xdr:to>
    <xdr:sp macro="[0]!sel_05_show">
      <xdr:nvSpPr>
        <xdr:cNvPr id="8" name="矩形 7"/>
        <xdr:cNvSpPr/>
      </xdr:nvSpPr>
      <xdr:spPr>
        <a:xfrm>
          <a:off x="8105775" y="0"/>
          <a:ext cx="937260" cy="37846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查询</a:t>
          </a:r>
          <a:endParaRPr lang="zh-CN" altLang="en-US" sz="14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252095</xdr:colOff>
      <xdr:row>0</xdr:row>
      <xdr:rowOff>3810</xdr:rowOff>
    </xdr:from>
    <xdr:to>
      <xdr:col>5</xdr:col>
      <xdr:colOff>55880</xdr:colOff>
      <xdr:row>0</xdr:row>
      <xdr:rowOff>381635</xdr:rowOff>
    </xdr:to>
    <xdr:sp macro="[0]!refresh_09">
      <xdr:nvSpPr>
        <xdr:cNvPr id="8" name="矩形 7"/>
        <xdr:cNvSpPr/>
      </xdr:nvSpPr>
      <xdr:spPr>
        <a:xfrm>
          <a:off x="1642745" y="381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生成新单</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3</xdr:col>
      <xdr:colOff>647700</xdr:colOff>
      <xdr:row>0</xdr:row>
      <xdr:rowOff>390525</xdr:rowOff>
    </xdr:to>
    <xdr:sp>
      <xdr:nvSpPr>
        <xdr:cNvPr id="9" name="矩形 8">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5</xdr:col>
      <xdr:colOff>403225</xdr:colOff>
      <xdr:row>0</xdr:row>
      <xdr:rowOff>3810</xdr:rowOff>
    </xdr:from>
    <xdr:to>
      <xdr:col>6</xdr:col>
      <xdr:colOff>378460</xdr:colOff>
      <xdr:row>0</xdr:row>
      <xdr:rowOff>381635</xdr:rowOff>
    </xdr:to>
    <xdr:sp macro="[0]!save_09">
      <xdr:nvSpPr>
        <xdr:cNvPr id="10" name="矩形 9"/>
        <xdr:cNvSpPr/>
      </xdr:nvSpPr>
      <xdr:spPr>
        <a:xfrm>
          <a:off x="2927350" y="381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6</xdr:col>
      <xdr:colOff>725805</xdr:colOff>
      <xdr:row>0</xdr:row>
      <xdr:rowOff>2540</xdr:rowOff>
    </xdr:from>
    <xdr:to>
      <xdr:col>7</xdr:col>
      <xdr:colOff>701040</xdr:colOff>
      <xdr:row>0</xdr:row>
      <xdr:rowOff>380365</xdr:rowOff>
    </xdr:to>
    <xdr:sp macro="[0]!add_row_09">
      <xdr:nvSpPr>
        <xdr:cNvPr id="12" name="矩形 11"/>
        <xdr:cNvSpPr/>
      </xdr:nvSpPr>
      <xdr:spPr>
        <a:xfrm>
          <a:off x="4211955" y="254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加一行</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7</xdr:col>
      <xdr:colOff>1048385</xdr:colOff>
      <xdr:row>0</xdr:row>
      <xdr:rowOff>2540</xdr:rowOff>
    </xdr:from>
    <xdr:to>
      <xdr:col>9</xdr:col>
      <xdr:colOff>118745</xdr:colOff>
      <xdr:row>0</xdr:row>
      <xdr:rowOff>380365</xdr:rowOff>
    </xdr:to>
    <xdr:sp macro="[0]!del_row_09">
      <xdr:nvSpPr>
        <xdr:cNvPr id="13" name="矩形 12"/>
        <xdr:cNvSpPr/>
      </xdr:nvSpPr>
      <xdr:spPr>
        <a:xfrm>
          <a:off x="5496560" y="254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减一行</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9</xdr:col>
      <xdr:colOff>466090</xdr:colOff>
      <xdr:row>0</xdr:row>
      <xdr:rowOff>635</xdr:rowOff>
    </xdr:from>
    <xdr:to>
      <xdr:col>11</xdr:col>
      <xdr:colOff>412750</xdr:colOff>
      <xdr:row>0</xdr:row>
      <xdr:rowOff>378460</xdr:rowOff>
    </xdr:to>
    <xdr:sp macro="[0]!sel_09_show">
      <xdr:nvSpPr>
        <xdr:cNvPr id="14" name="矩形 13"/>
        <xdr:cNvSpPr/>
      </xdr:nvSpPr>
      <xdr:spPr>
        <a:xfrm>
          <a:off x="6781165" y="635"/>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查询</a:t>
          </a:r>
          <a:endParaRPr lang="zh-CN" altLang="en-US" sz="14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252095</xdr:colOff>
      <xdr:row>0</xdr:row>
      <xdr:rowOff>3810</xdr:rowOff>
    </xdr:from>
    <xdr:to>
      <xdr:col>5</xdr:col>
      <xdr:colOff>55880</xdr:colOff>
      <xdr:row>0</xdr:row>
      <xdr:rowOff>381635</xdr:rowOff>
    </xdr:to>
    <xdr:sp macro="[0]!refresh_13">
      <xdr:nvSpPr>
        <xdr:cNvPr id="2" name="矩形 1"/>
        <xdr:cNvSpPr/>
      </xdr:nvSpPr>
      <xdr:spPr>
        <a:xfrm>
          <a:off x="1642745" y="381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生成新单</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3</xdr:col>
      <xdr:colOff>647700</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5</xdr:col>
      <xdr:colOff>403225</xdr:colOff>
      <xdr:row>0</xdr:row>
      <xdr:rowOff>3810</xdr:rowOff>
    </xdr:from>
    <xdr:to>
      <xdr:col>6</xdr:col>
      <xdr:colOff>378460</xdr:colOff>
      <xdr:row>0</xdr:row>
      <xdr:rowOff>381635</xdr:rowOff>
    </xdr:to>
    <xdr:sp macro="[0]!save_13">
      <xdr:nvSpPr>
        <xdr:cNvPr id="4" name="矩形 3"/>
        <xdr:cNvSpPr/>
      </xdr:nvSpPr>
      <xdr:spPr>
        <a:xfrm>
          <a:off x="2927350" y="381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6</xdr:col>
      <xdr:colOff>725805</xdr:colOff>
      <xdr:row>0</xdr:row>
      <xdr:rowOff>2540</xdr:rowOff>
    </xdr:from>
    <xdr:to>
      <xdr:col>7</xdr:col>
      <xdr:colOff>291465</xdr:colOff>
      <xdr:row>0</xdr:row>
      <xdr:rowOff>380365</xdr:rowOff>
    </xdr:to>
    <xdr:sp macro="[0]!add_row_13">
      <xdr:nvSpPr>
        <xdr:cNvPr id="5" name="矩形 4"/>
        <xdr:cNvSpPr/>
      </xdr:nvSpPr>
      <xdr:spPr>
        <a:xfrm>
          <a:off x="4211955" y="254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加一行</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8</xdr:col>
      <xdr:colOff>143510</xdr:colOff>
      <xdr:row>0</xdr:row>
      <xdr:rowOff>2540</xdr:rowOff>
    </xdr:from>
    <xdr:to>
      <xdr:col>10</xdr:col>
      <xdr:colOff>90170</xdr:colOff>
      <xdr:row>0</xdr:row>
      <xdr:rowOff>380365</xdr:rowOff>
    </xdr:to>
    <xdr:sp macro="[0]!del_row_13">
      <xdr:nvSpPr>
        <xdr:cNvPr id="6" name="矩形 5"/>
        <xdr:cNvSpPr/>
      </xdr:nvSpPr>
      <xdr:spPr>
        <a:xfrm>
          <a:off x="5496560" y="254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减一行</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10</xdr:col>
      <xdr:colOff>437515</xdr:colOff>
      <xdr:row>0</xdr:row>
      <xdr:rowOff>635</xdr:rowOff>
    </xdr:from>
    <xdr:to>
      <xdr:col>12</xdr:col>
      <xdr:colOff>374650</xdr:colOff>
      <xdr:row>0</xdr:row>
      <xdr:rowOff>378460</xdr:rowOff>
    </xdr:to>
    <xdr:sp macro="[0]!sel_13_show">
      <xdr:nvSpPr>
        <xdr:cNvPr id="7" name="矩形 6"/>
        <xdr:cNvSpPr/>
      </xdr:nvSpPr>
      <xdr:spPr>
        <a:xfrm>
          <a:off x="6781165" y="635"/>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查询</a:t>
          </a:r>
          <a:endParaRPr lang="zh-CN" altLang="en-US" sz="14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1178560</xdr:colOff>
      <xdr:row>0</xdr:row>
      <xdr:rowOff>1270</xdr:rowOff>
    </xdr:from>
    <xdr:to>
      <xdr:col>2</xdr:col>
      <xdr:colOff>2115820</xdr:colOff>
      <xdr:row>0</xdr:row>
      <xdr:rowOff>378460</xdr:rowOff>
    </xdr:to>
    <xdr:sp macro="[0]!refresh_14">
      <xdr:nvSpPr>
        <xdr:cNvPr id="2" name="矩形 1"/>
        <xdr:cNvSpPr/>
      </xdr:nvSpPr>
      <xdr:spPr>
        <a:xfrm>
          <a:off x="1530985" y="1270"/>
          <a:ext cx="937260" cy="37719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635</xdr:rowOff>
    </xdr:from>
    <xdr:to>
      <xdr:col>2</xdr:col>
      <xdr:colOff>942975</xdr:colOff>
      <xdr:row>0</xdr:row>
      <xdr:rowOff>391160</xdr:rowOff>
    </xdr:to>
    <xdr:sp>
      <xdr:nvSpPr>
        <xdr:cNvPr id="3" name="矩形 2">
          <a:hlinkClick xmlns:r="http://schemas.openxmlformats.org/officeDocument/2006/relationships" r:id="rId1"/>
        </xdr:cNvPr>
        <xdr:cNvSpPr/>
      </xdr:nvSpPr>
      <xdr:spPr>
        <a:xfrm>
          <a:off x="352425" y="635"/>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2</xdr:col>
      <xdr:colOff>2351405</xdr:colOff>
      <xdr:row>0</xdr:row>
      <xdr:rowOff>1270</xdr:rowOff>
    </xdr:from>
    <xdr:to>
      <xdr:col>3</xdr:col>
      <xdr:colOff>116840</xdr:colOff>
      <xdr:row>0</xdr:row>
      <xdr:rowOff>378460</xdr:rowOff>
    </xdr:to>
    <xdr:sp macro="[0]!sel_14_show">
      <xdr:nvSpPr>
        <xdr:cNvPr id="4" name="矩形 3"/>
        <xdr:cNvSpPr/>
      </xdr:nvSpPr>
      <xdr:spPr>
        <a:xfrm>
          <a:off x="2703830" y="1270"/>
          <a:ext cx="937260" cy="37719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查询</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3</xdr:col>
      <xdr:colOff>352425</xdr:colOff>
      <xdr:row>0</xdr:row>
      <xdr:rowOff>1270</xdr:rowOff>
    </xdr:from>
    <xdr:to>
      <xdr:col>4</xdr:col>
      <xdr:colOff>165735</xdr:colOff>
      <xdr:row>0</xdr:row>
      <xdr:rowOff>378460</xdr:rowOff>
    </xdr:to>
    <xdr:sp macro="[0]!delete_14">
      <xdr:nvSpPr>
        <xdr:cNvPr id="5" name="矩形 4"/>
        <xdr:cNvSpPr/>
      </xdr:nvSpPr>
      <xdr:spPr>
        <a:xfrm>
          <a:off x="3876675" y="1270"/>
          <a:ext cx="937260" cy="37719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删除选中</a:t>
          </a:r>
          <a:endParaRPr lang="zh-CN" altLang="en-US" sz="14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325755</xdr:colOff>
      <xdr:row>0</xdr:row>
      <xdr:rowOff>1905</xdr:rowOff>
    </xdr:from>
    <xdr:to>
      <xdr:col>4</xdr:col>
      <xdr:colOff>300990</xdr:colOff>
      <xdr:row>0</xdr:row>
      <xdr:rowOff>381635</xdr:rowOff>
    </xdr:to>
    <xdr:sp macro="[0]!refresh_11">
      <xdr:nvSpPr>
        <xdr:cNvPr id="2" name="矩形 1"/>
        <xdr:cNvSpPr/>
      </xdr:nvSpPr>
      <xdr:spPr>
        <a:xfrm>
          <a:off x="1640205" y="1905"/>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2</xdr:col>
      <xdr:colOff>942975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645795</xdr:colOff>
      <xdr:row>0</xdr:row>
      <xdr:rowOff>1905</xdr:rowOff>
    </xdr:from>
    <xdr:to>
      <xdr:col>6</xdr:col>
      <xdr:colOff>621030</xdr:colOff>
      <xdr:row>0</xdr:row>
      <xdr:rowOff>381635</xdr:rowOff>
    </xdr:to>
    <xdr:sp macro="[0]!insert_11">
      <xdr:nvSpPr>
        <xdr:cNvPr id="4" name="矩形 3"/>
        <xdr:cNvSpPr/>
      </xdr:nvSpPr>
      <xdr:spPr>
        <a:xfrm>
          <a:off x="2922270" y="1905"/>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7</xdr:col>
      <xdr:colOff>3810</xdr:colOff>
      <xdr:row>0</xdr:row>
      <xdr:rowOff>635</xdr:rowOff>
    </xdr:from>
    <xdr:to>
      <xdr:col>7</xdr:col>
      <xdr:colOff>941070</xdr:colOff>
      <xdr:row>0</xdr:row>
      <xdr:rowOff>380365</xdr:rowOff>
    </xdr:to>
    <xdr:sp macro="[0]!delete_11">
      <xdr:nvSpPr>
        <xdr:cNvPr id="5" name="矩形 4"/>
        <xdr:cNvSpPr/>
      </xdr:nvSpPr>
      <xdr:spPr>
        <a:xfrm>
          <a:off x="4204335" y="635"/>
          <a:ext cx="937260" cy="379730"/>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删除选中</a:t>
          </a:r>
          <a:endParaRPr lang="zh-CN" altLang="en-US" sz="14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328295</xdr:colOff>
      <xdr:row>0</xdr:row>
      <xdr:rowOff>3810</xdr:rowOff>
    </xdr:from>
    <xdr:to>
      <xdr:col>4</xdr:col>
      <xdr:colOff>303530</xdr:colOff>
      <xdr:row>0</xdr:row>
      <xdr:rowOff>381635</xdr:rowOff>
    </xdr:to>
    <xdr:sp macro="[0]!refresh_10">
      <xdr:nvSpPr>
        <xdr:cNvPr id="2" name="矩形 1"/>
        <xdr:cNvSpPr/>
      </xdr:nvSpPr>
      <xdr:spPr>
        <a:xfrm>
          <a:off x="1642745" y="381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刷新</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1</xdr:col>
      <xdr:colOff>0</xdr:colOff>
      <xdr:row>0</xdr:row>
      <xdr:rowOff>0</xdr:rowOff>
    </xdr:from>
    <xdr:to>
      <xdr:col>2</xdr:col>
      <xdr:colOff>942975</xdr:colOff>
      <xdr:row>0</xdr:row>
      <xdr:rowOff>390525</xdr:rowOff>
    </xdr:to>
    <xdr:sp>
      <xdr:nvSpPr>
        <xdr:cNvPr id="3" name="矩形 2">
          <a:hlinkClick xmlns:r="http://schemas.openxmlformats.org/officeDocument/2006/relationships" r:id="rId1"/>
        </xdr:cNvPr>
        <xdr:cNvSpPr/>
      </xdr:nvSpPr>
      <xdr:spPr>
        <a:xfrm>
          <a:off x="352425" y="0"/>
          <a:ext cx="942975" cy="390525"/>
        </a:xfrm>
        <a:prstGeom prst="rect">
          <a:avLst/>
        </a:prstGeom>
        <a:gradFill>
          <a:gsLst>
            <a:gs pos="0">
              <a:srgbClr val="E30000"/>
            </a:gs>
            <a:gs pos="100000">
              <a:srgbClr val="760303"/>
            </a:gs>
          </a:gsLst>
          <a:lin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首页</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0</xdr:row>
      <xdr:rowOff>3810</xdr:rowOff>
    </xdr:from>
    <xdr:to>
      <xdr:col>5</xdr:col>
      <xdr:colOff>626110</xdr:colOff>
      <xdr:row>0</xdr:row>
      <xdr:rowOff>381635</xdr:rowOff>
    </xdr:to>
    <xdr:sp macro="[0]!insert_10">
      <xdr:nvSpPr>
        <xdr:cNvPr id="4" name="矩形 3"/>
        <xdr:cNvSpPr/>
      </xdr:nvSpPr>
      <xdr:spPr>
        <a:xfrm>
          <a:off x="2927350" y="381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保存</a:t>
          </a:r>
          <a:endParaRPr lang="zh-CN" altLang="en-US" sz="1400" b="1">
            <a:latin typeface="微软雅黑" panose="020B0503020204020204" charset="-122"/>
            <a:ea typeface="微软雅黑" panose="020B0503020204020204" charset="-122"/>
          </a:endParaRPr>
        </a:p>
      </xdr:txBody>
    </xdr:sp>
    <xdr:clientData/>
  </xdr:twoCellAnchor>
  <xdr:twoCellAnchor editAs="absolute">
    <xdr:from>
      <xdr:col>6</xdr:col>
      <xdr:colOff>11430</xdr:colOff>
      <xdr:row>0</xdr:row>
      <xdr:rowOff>2540</xdr:rowOff>
    </xdr:from>
    <xdr:to>
      <xdr:col>6</xdr:col>
      <xdr:colOff>948690</xdr:colOff>
      <xdr:row>0</xdr:row>
      <xdr:rowOff>380365</xdr:rowOff>
    </xdr:to>
    <xdr:sp macro="[0]!delete_10">
      <xdr:nvSpPr>
        <xdr:cNvPr id="5" name="矩形 4"/>
        <xdr:cNvSpPr/>
      </xdr:nvSpPr>
      <xdr:spPr>
        <a:xfrm>
          <a:off x="4211955" y="2540"/>
          <a:ext cx="937260" cy="377825"/>
        </a:xfrm>
        <a:prstGeom prst="rect">
          <a:avLst/>
        </a:prstGeom>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微软雅黑" panose="020B0503020204020204" charset="-122"/>
              <a:ea typeface="微软雅黑" panose="020B0503020204020204" charset="-122"/>
            </a:rPr>
            <a:t>删除</a:t>
          </a:r>
          <a:endParaRPr lang="zh-CN" altLang="en-US" sz="14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ang="0" scaled="0"/>
        </a:gradFill>
        <a:ln>
          <a:noFill/>
        </a:ln>
        <a:effectLst>
          <a:outerShdw blurRad="50800" dist="38100" dir="8100000" algn="tr" rotWithShape="0">
            <a:prstClr val="black">
              <a:alpha val="40000"/>
            </a:prstClr>
          </a:outerShdw>
        </a:effectLst>
      </a:spPr>
      <a:bodyPr vertOverflow="clip" horzOverflow="clip" wrap="square" rtlCol="0" anchor="ctr" anchorCtr="0"/>
      <a:lstStyle>
        <a:defPPr algn="ctr">
          <a:defRPr lang="zh-CN" altLang="en-US" sz="14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3" workbookViewId="0">
      <selection activeCell="Y26" sqref="Y26"/>
    </sheetView>
  </sheetViews>
  <sheetFormatPr defaultColWidth="3.625" defaultRowHeight="17.1" customHeight="1"/>
  <cols>
    <col min="1" max="1" width="3.625" style="86" customWidth="1"/>
    <col min="2" max="16384" width="3.625" style="86"/>
  </cols>
  <sheetData>
    <row r="4" customHeight="1" spans="1:42">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row>
    <row r="5" customHeight="1" spans="1:42">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row>
    <row r="6" customHeight="1" spans="1:42">
      <c r="A6" s="88"/>
      <c r="B6" s="88"/>
      <c r="C6" s="88"/>
      <c r="D6" s="88"/>
      <c r="E6" s="88"/>
      <c r="F6" s="88"/>
      <c r="G6" s="88"/>
      <c r="H6" s="89"/>
      <c r="I6" s="89"/>
      <c r="J6" s="89"/>
      <c r="K6" s="89"/>
      <c r="L6" s="89"/>
      <c r="M6" s="89"/>
      <c r="N6" s="89"/>
      <c r="O6" s="89"/>
      <c r="P6" s="89"/>
      <c r="Q6" s="89"/>
      <c r="R6" s="88"/>
      <c r="S6" s="88"/>
      <c r="T6" s="88"/>
      <c r="U6" s="88"/>
      <c r="V6" s="88"/>
      <c r="W6" s="88"/>
      <c r="X6" s="88"/>
      <c r="Y6" s="88"/>
      <c r="Z6" s="88"/>
      <c r="AA6" s="88"/>
      <c r="AB6" s="88"/>
      <c r="AC6" s="88"/>
      <c r="AD6" s="88"/>
      <c r="AE6" s="88"/>
      <c r="AF6" s="88"/>
      <c r="AG6" s="88"/>
      <c r="AH6" s="88"/>
      <c r="AI6" s="88"/>
      <c r="AJ6" s="88"/>
      <c r="AK6" s="88"/>
      <c r="AL6" s="88"/>
      <c r="AM6" s="88"/>
      <c r="AN6" s="88"/>
      <c r="AO6" s="88"/>
      <c r="AP6" s="88"/>
    </row>
    <row r="7" customHeight="1" spans="5:23">
      <c r="E7" s="90"/>
      <c r="F7" s="90"/>
      <c r="G7" s="90"/>
      <c r="H7" s="91"/>
      <c r="I7" s="91"/>
      <c r="J7" s="91"/>
      <c r="K7" s="91"/>
      <c r="L7" s="91"/>
      <c r="M7" s="91"/>
      <c r="N7" s="92"/>
      <c r="O7" s="92"/>
      <c r="P7" s="92"/>
      <c r="Q7" s="92"/>
      <c r="T7" s="92"/>
      <c r="U7" s="92"/>
      <c r="V7" s="92"/>
      <c r="W7" s="92"/>
    </row>
    <row r="8" customHeight="1" spans="8:23">
      <c r="H8" s="92"/>
      <c r="I8" s="92"/>
      <c r="J8" s="92"/>
      <c r="K8" s="92"/>
      <c r="L8" s="92"/>
      <c r="M8" s="92"/>
      <c r="N8" s="92"/>
      <c r="O8" s="92"/>
      <c r="P8" s="92"/>
      <c r="Q8" s="92"/>
      <c r="T8" s="92"/>
      <c r="U8" s="92"/>
      <c r="V8" s="92"/>
      <c r="W8" s="92"/>
    </row>
    <row r="9" customHeight="1" spans="8:23">
      <c r="H9" s="92"/>
      <c r="I9" s="92"/>
      <c r="J9" s="92"/>
      <c r="K9" s="92"/>
      <c r="L9" s="92"/>
      <c r="M9" s="92"/>
      <c r="N9" s="92"/>
      <c r="O9" s="92"/>
      <c r="P9" s="92"/>
      <c r="Q9" s="92"/>
      <c r="R9" s="92"/>
      <c r="S9" s="92"/>
      <c r="T9" s="92"/>
      <c r="U9" s="92"/>
      <c r="V9" s="92"/>
      <c r="W9" s="92"/>
    </row>
    <row r="10" customHeight="1" spans="17:23">
      <c r="Q10" s="92"/>
      <c r="R10" s="92"/>
      <c r="S10" s="92"/>
      <c r="T10" s="92"/>
      <c r="U10" s="92"/>
      <c r="V10" s="92"/>
      <c r="W10" s="92"/>
    </row>
    <row r="11" customHeight="1" spans="17:23">
      <c r="Q11" s="92"/>
      <c r="R11" s="92"/>
      <c r="S11" s="92"/>
      <c r="T11" s="92"/>
      <c r="U11" s="92"/>
      <c r="V11" s="92"/>
      <c r="W11" s="92"/>
    </row>
    <row r="12" customHeight="1" spans="17:23">
      <c r="Q12" s="92"/>
      <c r="R12" s="92"/>
      <c r="S12" s="92"/>
      <c r="T12" s="92"/>
      <c r="U12" s="92"/>
      <c r="V12" s="92"/>
      <c r="W12" s="92"/>
    </row>
    <row r="13" customHeight="1" spans="17:23">
      <c r="Q13" s="92"/>
      <c r="R13" s="92"/>
      <c r="S13" s="92"/>
      <c r="T13" s="92"/>
      <c r="U13" s="92"/>
      <c r="V13" s="92"/>
      <c r="W13" s="92"/>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E301" sqref="E301"/>
    </sheetView>
  </sheetViews>
  <sheetFormatPr defaultColWidth="9" defaultRowHeight="21.95" customHeight="1"/>
  <cols>
    <col min="1" max="1" width="1.625" style="68" customWidth="1"/>
    <col min="2" max="2" width="2.625" style="69" customWidth="1"/>
    <col min="3" max="3" width="15.25" style="70" customWidth="1"/>
    <col min="4" max="4" width="19.125" style="71" customWidth="1"/>
    <col min="5" max="5" width="10.5" style="71" customWidth="1"/>
    <col min="6" max="8" width="24.625" style="71" customWidth="1"/>
    <col min="9" max="9" width="2.625" style="69" customWidth="1"/>
    <col min="10" max="10" width="4.25" style="68" customWidth="1"/>
    <col min="11" max="16384" width="9" style="68"/>
  </cols>
  <sheetData>
    <row r="1" s="66" customFormat="1" ht="54.95" customHeight="1" spans="1:10">
      <c r="A1" s="72"/>
      <c r="C1" s="73"/>
      <c r="J1" s="85"/>
    </row>
    <row r="2" ht="15.95" customHeight="1" spans="2:9">
      <c r="B2" s="68"/>
      <c r="C2" s="74"/>
      <c r="D2" s="68"/>
      <c r="E2" s="68"/>
      <c r="F2" s="68"/>
      <c r="G2" s="68"/>
      <c r="H2" s="68"/>
      <c r="I2" s="68"/>
    </row>
    <row r="3" ht="15.95" customHeight="1" spans="3:8">
      <c r="C3" s="75"/>
      <c r="D3" s="69"/>
      <c r="E3" s="69"/>
      <c r="F3" s="69"/>
      <c r="G3" s="69"/>
      <c r="H3" s="69"/>
    </row>
    <row r="4" ht="75.95" customHeight="1" spans="3:8">
      <c r="C4" s="76" t="s">
        <v>0</v>
      </c>
      <c r="D4" s="77"/>
      <c r="E4" s="77"/>
      <c r="F4" s="78">
        <f>D7</f>
        <v>1</v>
      </c>
      <c r="G4" s="79" t="s">
        <v>1</v>
      </c>
      <c r="H4" s="79"/>
    </row>
    <row r="5" ht="6" customHeight="1" spans="3:8">
      <c r="C5" s="80"/>
      <c r="D5" s="77"/>
      <c r="E5" s="77"/>
      <c r="F5" s="81"/>
      <c r="G5" s="81"/>
      <c r="H5" s="81"/>
    </row>
    <row r="6" s="67" customFormat="1" ht="9" customHeight="1" spans="2:9">
      <c r="B6" s="69"/>
      <c r="C6" s="82"/>
      <c r="D6" s="83"/>
      <c r="E6" s="83"/>
      <c r="F6" s="84"/>
      <c r="G6" s="84"/>
      <c r="H6" s="84"/>
      <c r="I6" s="69"/>
    </row>
    <row r="7" hidden="1" customHeight="1" spans="2:4">
      <c r="B7" s="69" t="s">
        <v>2</v>
      </c>
      <c r="D7" s="71">
        <v>1</v>
      </c>
    </row>
    <row r="8" customHeight="1" spans="3:4">
      <c r="C8" s="70" t="s">
        <v>3</v>
      </c>
      <c r="D8" s="71" t="s">
        <v>4</v>
      </c>
    </row>
    <row r="9" customHeight="1" spans="4:4">
      <c r="D9" s="71" t="s">
        <v>5</v>
      </c>
    </row>
    <row r="10" customHeight="1" spans="4:4">
      <c r="D10" s="71" t="s">
        <v>6</v>
      </c>
    </row>
    <row r="11" customHeight="1" spans="3:4">
      <c r="C11" s="70" t="s">
        <v>7</v>
      </c>
      <c r="D11" s="71" t="s">
        <v>8</v>
      </c>
    </row>
    <row r="12" customHeight="1" spans="4:4">
      <c r="D12" s="71" t="s">
        <v>9</v>
      </c>
    </row>
    <row r="13" customHeight="1" spans="3:4">
      <c r="C13" s="70" t="s">
        <v>10</v>
      </c>
      <c r="D13" s="71" t="s">
        <v>11</v>
      </c>
    </row>
    <row r="14" customHeight="1" spans="4:4">
      <c r="D14" s="71" t="s">
        <v>12</v>
      </c>
    </row>
    <row r="15" customHeight="1" spans="3:4">
      <c r="C15" s="70" t="s">
        <v>13</v>
      </c>
      <c r="D15" s="71" t="s">
        <v>14</v>
      </c>
    </row>
    <row r="16" customHeight="1" spans="3:4">
      <c r="C16" s="70" t="s">
        <v>15</v>
      </c>
      <c r="D16" s="71" t="s">
        <v>16</v>
      </c>
    </row>
    <row r="17" customHeight="1" spans="4:4">
      <c r="D17" s="71" t="s">
        <v>17</v>
      </c>
    </row>
    <row r="18" hidden="1" customHeight="1" spans="3:4">
      <c r="C18" s="70" t="s">
        <v>3</v>
      </c>
      <c r="D18" s="71" t="s">
        <v>18</v>
      </c>
    </row>
    <row r="19" hidden="1" customHeight="1" spans="3:4">
      <c r="C19" s="70" t="s">
        <v>7</v>
      </c>
      <c r="D19" s="71" t="s">
        <v>18</v>
      </c>
    </row>
    <row r="20" hidden="1" customHeight="1" spans="3:4">
      <c r="C20" s="70" t="s">
        <v>10</v>
      </c>
      <c r="D20" s="71" t="s">
        <v>18</v>
      </c>
    </row>
    <row r="21" hidden="1" customHeight="1" spans="3:4">
      <c r="C21" s="70" t="s">
        <v>13</v>
      </c>
      <c r="D21" s="71" t="s">
        <v>18</v>
      </c>
    </row>
    <row r="22" hidden="1" customHeight="1" spans="3:4">
      <c r="C22" s="70" t="s">
        <v>15</v>
      </c>
      <c r="D22" s="71" t="s">
        <v>18</v>
      </c>
    </row>
    <row r="23" hidden="1" customHeight="1" spans="3:4">
      <c r="C23" s="70" t="s">
        <v>19</v>
      </c>
      <c r="D23" s="71" t="s">
        <v>18</v>
      </c>
    </row>
    <row r="24" hidden="1" customHeight="1"/>
    <row r="25" hidden="1" customHeight="1"/>
    <row r="26" hidden="1" customHeight="1"/>
    <row r="27" hidden="1" customHeight="1"/>
    <row r="28" hidden="1" customHeight="1" spans="3:3">
      <c r="C28" s="70">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70">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70">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70">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70">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7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P1"/>
  <sheetViews>
    <sheetView workbookViewId="0">
      <selection activeCell="C1" sqref="C1"/>
    </sheetView>
  </sheetViews>
  <sheetFormatPr defaultColWidth="9" defaultRowHeight="14.25"/>
  <sheetData>
    <row r="1" spans="1:16">
      <c r="A1" s="65">
        <v>58441</v>
      </c>
      <c r="C1" s="65">
        <v>46042</v>
      </c>
      <c r="D1">
        <v>1048576</v>
      </c>
      <c r="P1" t="s">
        <v>20</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BA1182"/>
  <sheetViews>
    <sheetView showGridLines="0" workbookViewId="0">
      <pane ySplit="4" topLeftCell="A5" activePane="bottomLeft" state="frozen"/>
      <selection/>
      <selection pane="bottomLeft" activeCell="F6" sqref="F6"/>
    </sheetView>
  </sheetViews>
  <sheetFormatPr defaultColWidth="12.625" defaultRowHeight="20.1" customHeight="1"/>
  <cols>
    <col min="1" max="1" width="2.375" style="1" customWidth="1"/>
    <col min="2" max="2" width="0.875" style="1" hidden="1" customWidth="1"/>
    <col min="3" max="3" width="30.8666666666667" style="61" customWidth="1"/>
    <col min="4" max="4" width="19.75" style="2" customWidth="1"/>
    <col min="5" max="5" width="34.625" style="2" customWidth="1"/>
    <col min="6" max="6" width="16.9583333333333" style="2" customWidth="1"/>
    <col min="7" max="7" width="22.275" style="2" customWidth="1"/>
    <col min="8" max="8" width="32.7083333333333" style="2" customWidth="1"/>
    <col min="9" max="9" width="30.875" style="2" customWidth="1"/>
    <col min="10" max="10" width="5.86666666666667" style="2" customWidth="1"/>
    <col min="11" max="11" width="6.625" style="2" customWidth="1"/>
    <col min="12" max="12" width="11.375" style="2" customWidth="1"/>
    <col min="13" max="13" width="4.375" style="2" customWidth="1"/>
    <col min="14" max="14" width="3.5" style="2" customWidth="1"/>
    <col min="15" max="15" width="2.75" style="2" customWidth="1"/>
    <col min="16" max="16" width="10.25" style="2" customWidth="1"/>
    <col min="17" max="17" width="8.625" style="2" customWidth="1"/>
    <col min="18" max="18" width="9.375" style="2" customWidth="1"/>
    <col min="19" max="19" width="12.625" style="2" customWidth="1"/>
    <col min="20" max="20" width="11.125" style="2" customWidth="1"/>
    <col min="21" max="21" width="10.875" style="2" customWidth="1"/>
    <col min="22" max="22" width="10.75" style="2" customWidth="1"/>
    <col min="23" max="33" width="12.625" style="2" customWidth="1"/>
    <col min="34" max="34" width="15.75" style="2" customWidth="1"/>
    <col min="35" max="50" width="12.625" style="2" customWidth="1"/>
    <col min="51" max="51" width="12.625" style="1" hidden="1" customWidth="1"/>
    <col min="52" max="52" width="12.625" style="1" customWidth="1"/>
    <col min="53" max="16384" width="12.625" style="1"/>
  </cols>
  <sheetData>
    <row r="1" ht="39.95" customHeight="1" spans="3:50">
      <c r="C1" s="62"/>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row>
    <row r="2" ht="39.95" customHeight="1" spans="3:50">
      <c r="C2" s="63" t="s">
        <v>21</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row>
    <row r="3" ht="30" customHeight="1" spans="3:50">
      <c r="C3" s="62"/>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row>
    <row r="4" ht="30" customHeight="1" spans="1:52">
      <c r="A4" s="1"/>
      <c r="C4" s="64" t="s">
        <v>22</v>
      </c>
      <c r="D4" s="5" t="s">
        <v>23</v>
      </c>
      <c r="E4" s="5" t="s">
        <v>24</v>
      </c>
      <c r="F4" s="5" t="s">
        <v>25</v>
      </c>
      <c r="G4" s="5" t="s">
        <v>26</v>
      </c>
      <c r="H4" s="5" t="s">
        <v>27</v>
      </c>
      <c r="I4" s="5" t="s">
        <v>28</v>
      </c>
      <c r="J4" s="5" t="s">
        <v>29</v>
      </c>
      <c r="K4" s="5" t="s">
        <v>30</v>
      </c>
      <c r="L4" s="5" t="s">
        <v>31</v>
      </c>
      <c r="M4" s="5" t="s">
        <v>32</v>
      </c>
      <c r="N4" s="5" t="s">
        <v>33</v>
      </c>
      <c r="O4" s="5" t="s">
        <v>34</v>
      </c>
      <c r="P4" s="5" t="s">
        <v>35</v>
      </c>
      <c r="Q4" s="5" t="s">
        <v>36</v>
      </c>
      <c r="R4" s="5" t="s">
        <v>37</v>
      </c>
      <c r="S4" s="5" t="s">
        <v>38</v>
      </c>
      <c r="T4" s="5" t="s">
        <v>39</v>
      </c>
      <c r="U4" s="5" t="s">
        <v>40</v>
      </c>
      <c r="V4" s="5" t="s">
        <v>41</v>
      </c>
      <c r="W4" s="5" t="s">
        <v>42</v>
      </c>
      <c r="X4" s="5" t="s">
        <v>43</v>
      </c>
      <c r="Y4" s="5" t="s">
        <v>44</v>
      </c>
      <c r="Z4" s="5" t="s">
        <v>45</v>
      </c>
      <c r="AA4" s="5" t="s">
        <v>46</v>
      </c>
      <c r="AB4" s="5" t="s">
        <v>47</v>
      </c>
      <c r="AC4" s="5" t="s">
        <v>48</v>
      </c>
      <c r="AD4" s="5" t="s">
        <v>49</v>
      </c>
      <c r="AE4" s="5" t="s">
        <v>50</v>
      </c>
      <c r="AF4" s="5" t="s">
        <v>51</v>
      </c>
      <c r="AG4" s="5" t="s">
        <v>52</v>
      </c>
      <c r="AH4" s="5" t="s">
        <v>53</v>
      </c>
      <c r="AI4" s="5" t="s">
        <v>54</v>
      </c>
      <c r="AJ4" s="5" t="s">
        <v>55</v>
      </c>
      <c r="AK4" s="5" t="s">
        <v>56</v>
      </c>
      <c r="AL4" s="5" t="s">
        <v>57</v>
      </c>
      <c r="AM4" s="5" t="s">
        <v>58</v>
      </c>
      <c r="AN4" s="5" t="s">
        <v>59</v>
      </c>
      <c r="AO4" s="5" t="s">
        <v>60</v>
      </c>
      <c r="AP4" s="5" t="s">
        <v>61</v>
      </c>
      <c r="AQ4" s="5" t="s">
        <v>62</v>
      </c>
      <c r="AR4" s="5" t="s">
        <v>63</v>
      </c>
      <c r="AS4" s="5" t="s">
        <v>64</v>
      </c>
      <c r="AT4" s="5" t="s">
        <v>65</v>
      </c>
      <c r="AU4" s="5" t="s">
        <v>66</v>
      </c>
      <c r="AV4" s="5" t="s">
        <v>67</v>
      </c>
      <c r="AW4" s="5" t="s">
        <v>68</v>
      </c>
      <c r="AX4" s="5" t="s">
        <v>69</v>
      </c>
      <c r="AY4" s="1">
        <v>1</v>
      </c>
      <c r="AZ4" s="1">
        <v>1</v>
      </c>
    </row>
    <row r="5" ht="22" customHeight="1" spans="2:49">
      <c r="B5" s="1">
        <v>18059</v>
      </c>
      <c r="C5" s="61" t="s">
        <v>70</v>
      </c>
      <c r="D5" s="2">
        <v>20250208</v>
      </c>
      <c r="E5" s="2" t="s">
        <v>71</v>
      </c>
      <c r="F5" s="2" t="s">
        <v>72</v>
      </c>
      <c r="H5" s="2" t="s">
        <v>73</v>
      </c>
      <c r="I5" s="2" t="s">
        <v>74</v>
      </c>
      <c r="J5" s="2" t="s">
        <v>75</v>
      </c>
      <c r="K5" s="2">
        <v>1</v>
      </c>
      <c r="L5" s="2" t="s">
        <v>76</v>
      </c>
      <c r="Q5" s="2">
        <f>T5+V5+X5+Z5+AB5+AD5+AF5+AH5+AJ5+AL5+AN5+AP5</f>
        <v>0</v>
      </c>
      <c r="R5" s="2">
        <f>K5*Q5</f>
        <v>0</v>
      </c>
      <c r="AV5" s="2">
        <f>S5*K5</f>
        <v>0</v>
      </c>
      <c r="AW5" s="2">
        <f>U5*K5</f>
        <v>0</v>
      </c>
    </row>
    <row r="6" ht="22" customHeight="1" spans="2:49">
      <c r="B6" s="1">
        <v>18060</v>
      </c>
      <c r="C6" s="61" t="s">
        <v>70</v>
      </c>
      <c r="D6" s="2">
        <v>20250208</v>
      </c>
      <c r="E6" s="2" t="s">
        <v>71</v>
      </c>
      <c r="F6" s="2" t="s">
        <v>77</v>
      </c>
      <c r="H6" s="2" t="s">
        <v>78</v>
      </c>
      <c r="I6" s="2" t="s">
        <v>79</v>
      </c>
      <c r="J6" s="2" t="s">
        <v>75</v>
      </c>
      <c r="K6" s="2">
        <v>1</v>
      </c>
      <c r="L6" s="2" t="s">
        <v>80</v>
      </c>
      <c r="Q6" s="2">
        <f>T6+V6+X6+Z6+AB6+AD6+AF6+AH6+AJ6+AL6+AN6+AP6</f>
        <v>0</v>
      </c>
      <c r="R6" s="2">
        <f>K6*Q6</f>
        <v>0</v>
      </c>
      <c r="AV6" s="2">
        <f>S6*K6</f>
        <v>0</v>
      </c>
      <c r="AW6" s="2">
        <f>U6*K6</f>
        <v>0</v>
      </c>
    </row>
    <row r="7" ht="22" customHeight="1"/>
    <row r="8" ht="22" customHeight="1"/>
    <row r="9" ht="22" customHeight="1"/>
    <row r="10" ht="22" customHeight="1"/>
    <row r="11" ht="22" customHeight="1"/>
    <row r="12" ht="22" customHeight="1"/>
    <row r="13" ht="22" customHeight="1"/>
    <row r="14" ht="22" customHeight="1"/>
    <row r="15" ht="22" customHeight="1"/>
    <row r="16" ht="22" customHeight="1"/>
    <row r="17" ht="22" customHeight="1"/>
    <row r="18" ht="22" customHeight="1"/>
    <row r="110" s="60" customFormat="1" customHeight="1" spans="1:53">
      <c r="A110" s="1"/>
      <c r="B110" s="1"/>
      <c r="C110" s="61"/>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1"/>
      <c r="AZ110" s="1"/>
      <c r="BA110" s="1"/>
    </row>
    <row r="111" s="60" customFormat="1" customHeight="1" spans="1:53">
      <c r="A111" s="1"/>
      <c r="B111" s="1"/>
      <c r="C111" s="61"/>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1"/>
      <c r="AZ111" s="1"/>
      <c r="BA111" s="1"/>
    </row>
    <row r="112" s="60" customFormat="1" customHeight="1" spans="1:53">
      <c r="A112" s="1"/>
      <c r="B112" s="1"/>
      <c r="C112" s="61"/>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1"/>
      <c r="AZ112" s="1"/>
      <c r="BA112" s="1"/>
    </row>
    <row r="113" s="60" customFormat="1" customHeight="1" spans="1:53">
      <c r="A113" s="1"/>
      <c r="B113" s="1"/>
      <c r="C113" s="61"/>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1"/>
      <c r="AZ113" s="1"/>
      <c r="BA113" s="1"/>
    </row>
    <row r="114" s="60" customFormat="1" customHeight="1" spans="1:53">
      <c r="A114" s="1"/>
      <c r="B114" s="1"/>
      <c r="C114" s="61"/>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1"/>
      <c r="AZ114" s="1"/>
      <c r="BA114" s="1"/>
    </row>
    <row r="447" ht="36" customHeight="1"/>
    <row r="534" ht="21" customHeight="1"/>
    <row r="642" s="8" customFormat="1" customHeight="1" spans="1:53">
      <c r="A642" s="1"/>
      <c r="B642" s="1"/>
      <c r="C642" s="61"/>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1"/>
      <c r="AZ642" s="1"/>
      <c r="BA642" s="1"/>
    </row>
    <row r="643" s="59" customFormat="1" customHeight="1" spans="1:53">
      <c r="A643" s="1"/>
      <c r="B643" s="1"/>
      <c r="C643" s="61"/>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1"/>
      <c r="AZ643" s="1"/>
      <c r="BA643" s="1"/>
    </row>
    <row r="644" s="59" customFormat="1" customHeight="1" spans="1:53">
      <c r="A644" s="1"/>
      <c r="B644" s="1"/>
      <c r="C644" s="61"/>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1"/>
      <c r="AZ644" s="1"/>
      <c r="BA644" s="1"/>
    </row>
    <row r="645" s="59" customFormat="1" customHeight="1" spans="1:53">
      <c r="A645" s="1"/>
      <c r="B645" s="1"/>
      <c r="C645" s="61"/>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1"/>
      <c r="AZ645" s="1"/>
      <c r="BA645" s="1"/>
    </row>
    <row r="646" s="59" customFormat="1" customHeight="1" spans="1:53">
      <c r="A646" s="1"/>
      <c r="B646" s="1"/>
      <c r="C646" s="61"/>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1"/>
      <c r="AZ646" s="1"/>
      <c r="BA646" s="1"/>
    </row>
    <row r="647" s="59" customFormat="1" customHeight="1" spans="1:53">
      <c r="A647" s="1"/>
      <c r="B647" s="1"/>
      <c r="C647" s="61"/>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1"/>
      <c r="AZ647" s="1"/>
      <c r="BA647" s="1"/>
    </row>
    <row r="648" s="59" customFormat="1" customHeight="1" spans="1:53">
      <c r="A648" s="1"/>
      <c r="B648" s="1"/>
      <c r="C648" s="61"/>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1"/>
      <c r="AZ648" s="1"/>
      <c r="BA648" s="1"/>
    </row>
    <row r="649" s="59" customFormat="1" customHeight="1" spans="1:53">
      <c r="A649" s="1"/>
      <c r="B649" s="1"/>
      <c r="C649" s="61"/>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1"/>
      <c r="AZ649" s="1"/>
      <c r="BA649" s="1"/>
    </row>
    <row r="650" s="59" customFormat="1" customHeight="1" spans="1:53">
      <c r="A650" s="1"/>
      <c r="B650" s="1"/>
      <c r="C650" s="61"/>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1"/>
      <c r="AZ650" s="1"/>
      <c r="BA650" s="1"/>
    </row>
    <row r="651" s="59" customFormat="1" customHeight="1" spans="1:53">
      <c r="A651" s="1"/>
      <c r="B651" s="1"/>
      <c r="C651" s="61"/>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1"/>
      <c r="AZ651" s="1"/>
      <c r="BA651" s="1"/>
    </row>
    <row r="652" s="59" customFormat="1" customHeight="1" spans="1:53">
      <c r="A652" s="1"/>
      <c r="B652" s="1"/>
      <c r="C652" s="61"/>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1"/>
      <c r="AZ652" s="1"/>
      <c r="BA652" s="1"/>
    </row>
    <row r="653" s="59" customFormat="1" customHeight="1" spans="1:53">
      <c r="A653" s="1"/>
      <c r="B653" s="1"/>
      <c r="C653" s="61"/>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1"/>
      <c r="AZ653" s="1"/>
      <c r="BA653" s="1"/>
    </row>
    <row r="654" s="59" customFormat="1" customHeight="1" spans="1:53">
      <c r="A654" s="1"/>
      <c r="B654" s="1"/>
      <c r="C654" s="61"/>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1"/>
      <c r="AZ654" s="1"/>
      <c r="BA654" s="1"/>
    </row>
    <row r="854" ht="19" customHeight="1"/>
    <row r="1182" ht="20" customHeight="1"/>
  </sheetData>
  <autoFilter xmlns:etc="http://www.wps.cn/officeDocument/2017/etCustomData" ref="C1:C4" etc:filterBottomFollowUsedRange="0">
    <extLst/>
  </autoFilter>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BA1698"/>
  <sheetViews>
    <sheetView showGridLines="0" workbookViewId="0">
      <pane ySplit="4" topLeftCell="A5" activePane="bottomLeft" state="frozen"/>
      <selection/>
      <selection pane="bottomLeft" activeCell="D26" sqref="D26"/>
    </sheetView>
  </sheetViews>
  <sheetFormatPr defaultColWidth="12.625" defaultRowHeight="20.1" customHeight="1"/>
  <cols>
    <col min="1" max="1" width="4.625" style="60" customWidth="1"/>
    <col min="2" max="2" width="4.625" style="1" hidden="1" customWidth="1"/>
    <col min="3" max="3" width="35.25" style="2" customWidth="1"/>
    <col min="4" max="4" width="12.625" style="2" customWidth="1"/>
    <col min="5" max="5" width="27" style="2" customWidth="1"/>
    <col min="6" max="6" width="12.625" style="2" customWidth="1"/>
    <col min="7" max="7" width="27.875" style="2" customWidth="1"/>
    <col min="8" max="8" width="28.25" style="2" customWidth="1"/>
    <col min="9" max="9" width="28.125" style="2" customWidth="1"/>
    <col min="10" max="10" width="7.625" style="2" customWidth="1"/>
    <col min="11" max="11" width="9.625" style="2" customWidth="1"/>
    <col min="12" max="12" width="18.875" style="2" customWidth="1"/>
    <col min="13" max="13" width="18.625" style="2" customWidth="1"/>
    <col min="14" max="51" width="12.625" style="2" customWidth="1"/>
    <col min="52" max="52" width="12.625" style="1" hidden="1" customWidth="1"/>
    <col min="53" max="53" width="12.625" style="1" customWidth="1"/>
    <col min="54" max="16384" width="12.625" style="1"/>
  </cols>
  <sheetData>
    <row r="1" ht="39.95" customHeight="1" spans="3:5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ht="39.95" customHeight="1" spans="3:51">
      <c r="C2" s="4" t="s">
        <v>81</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ht="30" customHeight="1" spans="3:5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ht="30" customHeight="1" spans="3:52">
      <c r="C4" s="5" t="s">
        <v>22</v>
      </c>
      <c r="D4" s="5" t="s">
        <v>23</v>
      </c>
      <c r="E4" s="5" t="s">
        <v>24</v>
      </c>
      <c r="F4" s="5" t="s">
        <v>82</v>
      </c>
      <c r="G4" s="5" t="s">
        <v>26</v>
      </c>
      <c r="H4" s="5" t="s">
        <v>27</v>
      </c>
      <c r="I4" s="5" t="s">
        <v>28</v>
      </c>
      <c r="J4" s="5" t="s">
        <v>29</v>
      </c>
      <c r="K4" s="5" t="s">
        <v>30</v>
      </c>
      <c r="L4" s="5" t="s">
        <v>31</v>
      </c>
      <c r="M4" s="5" t="s">
        <v>83</v>
      </c>
      <c r="N4" s="5" t="s">
        <v>32</v>
      </c>
      <c r="O4" s="5" t="s">
        <v>33</v>
      </c>
      <c r="P4" s="5" t="s">
        <v>34</v>
      </c>
      <c r="Q4" s="5" t="s">
        <v>35</v>
      </c>
      <c r="R4" s="5" t="s">
        <v>36</v>
      </c>
      <c r="S4" s="5" t="s">
        <v>37</v>
      </c>
      <c r="T4" s="5" t="s">
        <v>38</v>
      </c>
      <c r="U4" s="5" t="s">
        <v>39</v>
      </c>
      <c r="V4" s="5" t="s">
        <v>40</v>
      </c>
      <c r="W4" s="5" t="s">
        <v>41</v>
      </c>
      <c r="X4" s="5" t="s">
        <v>42</v>
      </c>
      <c r="Y4" s="5" t="s">
        <v>43</v>
      </c>
      <c r="Z4" s="5" t="s">
        <v>44</v>
      </c>
      <c r="AA4" s="5" t="s">
        <v>45</v>
      </c>
      <c r="AB4" s="5" t="s">
        <v>46</v>
      </c>
      <c r="AC4" s="5" t="s">
        <v>47</v>
      </c>
      <c r="AD4" s="5" t="s">
        <v>48</v>
      </c>
      <c r="AE4" s="5" t="s">
        <v>49</v>
      </c>
      <c r="AF4" s="5" t="s">
        <v>50</v>
      </c>
      <c r="AG4" s="5" t="s">
        <v>51</v>
      </c>
      <c r="AH4" s="5" t="s">
        <v>52</v>
      </c>
      <c r="AI4" s="5" t="s">
        <v>53</v>
      </c>
      <c r="AJ4" s="5" t="s">
        <v>54</v>
      </c>
      <c r="AK4" s="5" t="s">
        <v>55</v>
      </c>
      <c r="AL4" s="5" t="s">
        <v>56</v>
      </c>
      <c r="AM4" s="5" t="s">
        <v>57</v>
      </c>
      <c r="AN4" s="5" t="s">
        <v>58</v>
      </c>
      <c r="AO4" s="5" t="s">
        <v>59</v>
      </c>
      <c r="AP4" s="5" t="s">
        <v>60</v>
      </c>
      <c r="AQ4" s="5" t="s">
        <v>61</v>
      </c>
      <c r="AR4" s="5" t="s">
        <v>62</v>
      </c>
      <c r="AS4" s="5" t="s">
        <v>63</v>
      </c>
      <c r="AT4" s="5" t="s">
        <v>64</v>
      </c>
      <c r="AU4" s="5" t="s">
        <v>65</v>
      </c>
      <c r="AV4" s="5" t="s">
        <v>66</v>
      </c>
      <c r="AW4" s="5" t="s">
        <v>67</v>
      </c>
      <c r="AX4" s="5" t="s">
        <v>68</v>
      </c>
      <c r="AY4" s="5" t="s">
        <v>69</v>
      </c>
      <c r="AZ4" s="1">
        <v>1</v>
      </c>
    </row>
    <row r="230" s="59" customFormat="1" customHeight="1" spans="1:53">
      <c r="A230" s="60"/>
      <c r="B230" s="1"/>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1"/>
      <c r="BA230" s="1"/>
    </row>
    <row r="1698" customHeight="1" spans="1:1">
      <c r="A1698" s="60" t="s">
        <v>84</v>
      </c>
    </row>
  </sheetData>
  <pageMargins left="0.75" right="0.75" top="1" bottom="1" header="0.5" footer="0.5"/>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C1:AY4"/>
  <sheetViews>
    <sheetView showGridLines="0" workbookViewId="0">
      <pane ySplit="4" topLeftCell="A5" activePane="bottomLeft" state="frozen"/>
      <selection/>
      <selection pane="bottomLeft" activeCell="G25" sqref="G24:G25"/>
    </sheetView>
  </sheetViews>
  <sheetFormatPr defaultColWidth="12.625" defaultRowHeight="20.1" customHeight="1" outlineLevelRow="3"/>
  <cols>
    <col min="1" max="1" width="4.625" style="1" customWidth="1"/>
    <col min="2" max="2" width="4.625" style="1" hidden="1" customWidth="1"/>
    <col min="3" max="4" width="12.625" style="2" customWidth="1"/>
    <col min="5" max="5" width="34.875" style="2" customWidth="1"/>
    <col min="6" max="8" width="12.625" style="2" customWidth="1"/>
    <col min="9" max="9" width="21.5" style="2" customWidth="1"/>
    <col min="10" max="12" width="12.625" style="2" customWidth="1"/>
    <col min="13" max="13" width="17.25" style="2" customWidth="1"/>
    <col min="14" max="51" width="12.625" style="2" customWidth="1"/>
    <col min="52" max="52" width="12.625" style="1" hidden="1" customWidth="1"/>
    <col min="53" max="53" width="12.625" style="1" customWidth="1"/>
    <col min="54" max="16384" width="12.625" style="1"/>
  </cols>
  <sheetData>
    <row r="1" ht="39.95" customHeight="1" spans="3:5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ht="39.95" customHeight="1" spans="3:51">
      <c r="C2" s="4" t="s">
        <v>85</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ht="30" customHeight="1" spans="3:5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ht="30" customHeight="1" spans="3:51">
      <c r="C4" s="5" t="s">
        <v>22</v>
      </c>
      <c r="D4" s="5" t="s">
        <v>23</v>
      </c>
      <c r="E4" s="5" t="s">
        <v>24</v>
      </c>
      <c r="F4" s="5" t="s">
        <v>86</v>
      </c>
      <c r="G4" s="5" t="s">
        <v>26</v>
      </c>
      <c r="H4" s="5" t="s">
        <v>27</v>
      </c>
      <c r="I4" s="5" t="s">
        <v>28</v>
      </c>
      <c r="J4" s="5" t="s">
        <v>29</v>
      </c>
      <c r="K4" s="5" t="s">
        <v>30</v>
      </c>
      <c r="L4" s="5" t="s">
        <v>31</v>
      </c>
      <c r="M4" s="5" t="s">
        <v>83</v>
      </c>
      <c r="N4" s="5" t="s">
        <v>32</v>
      </c>
      <c r="O4" s="5" t="s">
        <v>33</v>
      </c>
      <c r="P4" s="5" t="s">
        <v>34</v>
      </c>
      <c r="Q4" s="5" t="s">
        <v>35</v>
      </c>
      <c r="R4" s="5" t="s">
        <v>36</v>
      </c>
      <c r="S4" s="5" t="s">
        <v>37</v>
      </c>
      <c r="T4" s="5" t="s">
        <v>38</v>
      </c>
      <c r="U4" s="5" t="s">
        <v>39</v>
      </c>
      <c r="V4" s="5" t="s">
        <v>40</v>
      </c>
      <c r="W4" s="5" t="s">
        <v>41</v>
      </c>
      <c r="X4" s="5" t="s">
        <v>42</v>
      </c>
      <c r="Y4" s="5" t="s">
        <v>43</v>
      </c>
      <c r="Z4" s="5" t="s">
        <v>44</v>
      </c>
      <c r="AA4" s="5" t="s">
        <v>45</v>
      </c>
      <c r="AB4" s="5" t="s">
        <v>46</v>
      </c>
      <c r="AC4" s="5" t="s">
        <v>47</v>
      </c>
      <c r="AD4" s="5" t="s">
        <v>48</v>
      </c>
      <c r="AE4" s="5" t="s">
        <v>49</v>
      </c>
      <c r="AF4" s="5" t="s">
        <v>50</v>
      </c>
      <c r="AG4" s="5" t="s">
        <v>51</v>
      </c>
      <c r="AH4" s="5" t="s">
        <v>52</v>
      </c>
      <c r="AI4" s="5" t="s">
        <v>53</v>
      </c>
      <c r="AJ4" s="5" t="s">
        <v>54</v>
      </c>
      <c r="AK4" s="5" t="s">
        <v>55</v>
      </c>
      <c r="AL4" s="5" t="s">
        <v>56</v>
      </c>
      <c r="AM4" s="5" t="s">
        <v>57</v>
      </c>
      <c r="AN4" s="5" t="s">
        <v>58</v>
      </c>
      <c r="AO4" s="5" t="s">
        <v>59</v>
      </c>
      <c r="AP4" s="5" t="s">
        <v>60</v>
      </c>
      <c r="AQ4" s="5" t="s">
        <v>61</v>
      </c>
      <c r="AR4" s="5" t="s">
        <v>62</v>
      </c>
      <c r="AS4" s="5" t="s">
        <v>63</v>
      </c>
      <c r="AT4" s="5" t="s">
        <v>64</v>
      </c>
      <c r="AU4" s="5" t="s">
        <v>65</v>
      </c>
      <c r="AV4" s="5" t="s">
        <v>66</v>
      </c>
      <c r="AW4" s="5" t="s">
        <v>67</v>
      </c>
      <c r="AX4" s="5" t="s">
        <v>68</v>
      </c>
      <c r="AY4" s="5" t="s">
        <v>69</v>
      </c>
    </row>
  </sheetData>
  <sortState ref="B5:AZ65536">
    <sortCondition ref="AT5:AT65536"/>
  </sortState>
  <pageMargins left="0.75" right="0.75" top="1" bottom="1" header="0.5" footer="0.5"/>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C1:Q23"/>
  <sheetViews>
    <sheetView showGridLines="0" workbookViewId="0">
      <pane ySplit="4" topLeftCell="A5" activePane="bottomLeft" state="frozen"/>
      <selection/>
      <selection pane="bottomLeft" activeCell="F22" sqref="F22"/>
    </sheetView>
  </sheetViews>
  <sheetFormatPr defaultColWidth="9" defaultRowHeight="20.1" customHeight="1"/>
  <cols>
    <col min="1" max="1" width="4.625" style="1" customWidth="1"/>
    <col min="2" max="2" width="4.625" style="1" hidden="1" customWidth="1"/>
    <col min="3" max="9" width="12.625" style="2" customWidth="1"/>
    <col min="10" max="14" width="12.625" style="1" hidden="1" customWidth="1"/>
    <col min="15" max="15" width="12.625" style="1" customWidth="1"/>
    <col min="16" max="17" width="12.625" style="2" customWidth="1"/>
    <col min="18" max="16381" width="12.625" style="1" customWidth="1"/>
    <col min="16382" max="16382" width="12.625" style="1"/>
    <col min="16383" max="16384" width="9" style="1"/>
  </cols>
  <sheetData>
    <row r="1" ht="39.95" customHeight="1" spans="3:17">
      <c r="C1" s="1"/>
      <c r="D1" s="1"/>
      <c r="E1" s="1"/>
      <c r="F1" s="1"/>
      <c r="G1" s="1"/>
      <c r="H1" s="1"/>
      <c r="I1" s="1"/>
      <c r="P1" s="1"/>
      <c r="Q1" s="1"/>
    </row>
    <row r="2" ht="39.95" customHeight="1" spans="3:17">
      <c r="C2" s="4" t="s">
        <v>87</v>
      </c>
      <c r="D2" s="1"/>
      <c r="E2" s="1"/>
      <c r="F2" s="1"/>
      <c r="G2" s="1"/>
      <c r="H2" s="1"/>
      <c r="I2" s="1"/>
      <c r="P2" s="4" t="s">
        <v>88</v>
      </c>
      <c r="Q2" s="1"/>
    </row>
    <row r="3" ht="30" customHeight="1" spans="3:17">
      <c r="C3" s="1"/>
      <c r="D3" s="5" t="s">
        <v>89</v>
      </c>
      <c r="E3" s="58">
        <f>SUM(E5:E65506)</f>
        <v>0</v>
      </c>
      <c r="F3" s="5" t="s">
        <v>90</v>
      </c>
      <c r="G3" s="58">
        <v>10</v>
      </c>
      <c r="H3" s="5" t="s">
        <v>91</v>
      </c>
      <c r="I3" s="58">
        <f>E3*G3</f>
        <v>0</v>
      </c>
      <c r="P3" s="1"/>
      <c r="Q3" s="1"/>
    </row>
    <row r="4" ht="30" customHeight="1" spans="3:17">
      <c r="C4" s="5" t="s">
        <v>92</v>
      </c>
      <c r="D4" s="5" t="s">
        <v>93</v>
      </c>
      <c r="E4" s="5" t="s">
        <v>94</v>
      </c>
      <c r="F4" s="5" t="s">
        <v>95</v>
      </c>
      <c r="G4" s="5" t="s">
        <v>96</v>
      </c>
      <c r="H4" s="5" t="s">
        <v>97</v>
      </c>
      <c r="I4" s="5" t="s">
        <v>69</v>
      </c>
      <c r="P4" s="5" t="s">
        <v>98</v>
      </c>
      <c r="Q4" s="5" t="s">
        <v>94</v>
      </c>
    </row>
    <row r="5" customHeight="1" spans="7:7">
      <c r="G5" s="10"/>
    </row>
    <row r="6" customHeight="1" spans="7:7">
      <c r="G6" s="10"/>
    </row>
    <row r="7" customHeight="1" spans="7:7">
      <c r="G7" s="10"/>
    </row>
    <row r="8" customHeight="1" spans="7:7">
      <c r="G8" s="10"/>
    </row>
    <row r="9" customHeight="1" spans="7:7">
      <c r="G9" s="10"/>
    </row>
    <row r="10" customHeight="1" spans="7:7">
      <c r="G10" s="10"/>
    </row>
    <row r="11" customHeight="1" spans="7:7">
      <c r="G11" s="10"/>
    </row>
    <row r="12" customHeight="1" spans="7:7">
      <c r="G12" s="10"/>
    </row>
    <row r="13" customHeight="1" spans="7:7">
      <c r="G13" s="10"/>
    </row>
    <row r="14" customHeight="1" spans="7:7">
      <c r="G14" s="10"/>
    </row>
    <row r="15" customHeight="1" spans="7:7">
      <c r="G15" s="10"/>
    </row>
    <row r="16" customHeight="1" spans="7:7">
      <c r="G16" s="10"/>
    </row>
    <row r="17" customHeight="1" spans="7:7">
      <c r="G17" s="10"/>
    </row>
    <row r="18" customHeight="1" spans="7:7">
      <c r="G18" s="10"/>
    </row>
    <row r="19" customHeight="1" spans="7:7">
      <c r="G19" s="10"/>
    </row>
    <row r="20" customHeight="1" spans="7:7">
      <c r="G20" s="10"/>
    </row>
    <row r="21" customHeight="1" spans="7:7">
      <c r="G21" s="10"/>
    </row>
    <row r="22" customHeight="1" spans="7:7">
      <c r="G22" s="10"/>
    </row>
    <row r="23" customHeight="1" spans="7:7">
      <c r="G23" s="10"/>
    </row>
  </sheetData>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B1:P14"/>
  <sheetViews>
    <sheetView showGridLines="0" workbookViewId="0">
      <selection activeCell="H3" sqref="H3"/>
    </sheetView>
  </sheetViews>
  <sheetFormatPr defaultColWidth="12.625" defaultRowHeight="20.1" customHeight="1"/>
  <cols>
    <col min="1" max="1" width="4.625" style="32" customWidth="1"/>
    <col min="2" max="2" width="4.5" style="32" hidden="1" customWidth="1"/>
    <col min="3" max="3" width="7" style="32" customWidth="1"/>
    <col min="4" max="4" width="12.625" style="32" customWidth="1"/>
    <col min="5" max="5" width="22.5" style="32" customWidth="1"/>
    <col min="6" max="6" width="12" style="32" customWidth="1"/>
    <col min="7" max="7" width="25.125" style="32" customWidth="1"/>
    <col min="8" max="8" width="12.625" style="32" customWidth="1"/>
    <col min="9" max="9" width="16.625" style="32" customWidth="1"/>
    <col min="10" max="10" width="12.625" style="32" customWidth="1"/>
    <col min="11" max="11" width="12.125" style="32" customWidth="1"/>
    <col min="12" max="12" width="12.625" style="32" customWidth="1"/>
    <col min="13" max="13" width="16.625" style="32" customWidth="1"/>
    <col min="14" max="14" width="12.625" style="32" hidden="1" customWidth="1"/>
    <col min="15" max="15" width="4.625" style="32" customWidth="1"/>
    <col min="16" max="16" width="12.625" style="32" customWidth="1"/>
    <col min="17" max="16384" width="12.625" style="32"/>
  </cols>
  <sheetData>
    <row r="1" s="31" customFormat="1" ht="39.95" customHeight="1"/>
    <row r="2" s="31" customFormat="1" ht="39.95" customHeight="1" spans="3:3">
      <c r="C2" s="33" t="s">
        <v>99</v>
      </c>
    </row>
    <row r="3" s="31" customFormat="1" ht="30" customHeight="1"/>
    <row r="4" ht="39.95" customHeight="1" spans="3:16">
      <c r="C4" s="34" t="s">
        <v>100</v>
      </c>
      <c r="D4" s="34"/>
      <c r="E4" s="34"/>
      <c r="F4" s="34"/>
      <c r="G4" s="34"/>
      <c r="H4" s="34"/>
      <c r="I4" s="34"/>
      <c r="J4" s="34"/>
      <c r="K4" s="34"/>
      <c r="L4" s="34"/>
      <c r="M4" s="34"/>
      <c r="N4" s="49"/>
      <c r="P4" s="50" t="s">
        <v>101</v>
      </c>
    </row>
    <row r="5" ht="41" customHeight="1" spans="3:16">
      <c r="C5" s="35" t="s">
        <v>22</v>
      </c>
      <c r="D5" s="35"/>
      <c r="E5" s="36" t="s">
        <v>70</v>
      </c>
      <c r="F5" s="35" t="s">
        <v>30</v>
      </c>
      <c r="G5" s="36">
        <v>1</v>
      </c>
      <c r="H5" s="35" t="s">
        <v>31</v>
      </c>
      <c r="I5" s="36" t="s">
        <v>80</v>
      </c>
      <c r="J5" s="36"/>
      <c r="K5" s="36"/>
      <c r="L5" s="36"/>
      <c r="M5" s="36"/>
      <c r="N5" s="51"/>
      <c r="P5" s="50">
        <v>18060</v>
      </c>
    </row>
    <row r="6" ht="45" customHeight="1" spans="3:14">
      <c r="C6" s="35" t="s">
        <v>102</v>
      </c>
      <c r="D6" s="35"/>
      <c r="E6" s="36" t="s">
        <v>78</v>
      </c>
      <c r="F6" s="35" t="s">
        <v>24</v>
      </c>
      <c r="G6" s="36" t="s">
        <v>71</v>
      </c>
      <c r="H6" s="35" t="s">
        <v>28</v>
      </c>
      <c r="I6" s="36" t="s">
        <v>79</v>
      </c>
      <c r="J6" s="36"/>
      <c r="K6" s="36"/>
      <c r="L6" s="36"/>
      <c r="M6" s="36"/>
      <c r="N6" s="51"/>
    </row>
    <row r="7" ht="30" customHeight="1" spans="3:14">
      <c r="C7" s="35" t="s">
        <v>103</v>
      </c>
      <c r="D7" s="35" t="s">
        <v>92</v>
      </c>
      <c r="E7" s="35" t="s">
        <v>93</v>
      </c>
      <c r="F7" s="35"/>
      <c r="G7" s="35"/>
      <c r="H7" s="35"/>
      <c r="I7" s="35" t="s">
        <v>94</v>
      </c>
      <c r="J7" s="35" t="s">
        <v>95</v>
      </c>
      <c r="K7" s="35" t="s">
        <v>96</v>
      </c>
      <c r="L7" s="35" t="s">
        <v>97</v>
      </c>
      <c r="M7" s="35" t="s">
        <v>69</v>
      </c>
      <c r="N7" s="52"/>
    </row>
    <row r="8" ht="30" customHeight="1" spans="2:14">
      <c r="B8" s="32">
        <v>38114</v>
      </c>
      <c r="C8" s="37">
        <v>1</v>
      </c>
      <c r="D8" s="37" t="s">
        <v>104</v>
      </c>
      <c r="E8" s="38" t="s">
        <v>105</v>
      </c>
      <c r="F8" s="39"/>
      <c r="G8" s="39"/>
      <c r="H8" s="40"/>
      <c r="I8" s="37">
        <v>0.5</v>
      </c>
      <c r="J8" s="53"/>
      <c r="K8" s="54"/>
      <c r="L8" s="37"/>
      <c r="M8" s="37"/>
      <c r="N8" s="55"/>
    </row>
    <row r="9" ht="30" customHeight="1" spans="2:14">
      <c r="B9" s="32">
        <v>38115</v>
      </c>
      <c r="C9" s="37">
        <v>2</v>
      </c>
      <c r="D9" s="37" t="s">
        <v>106</v>
      </c>
      <c r="E9" s="38" t="s">
        <v>107</v>
      </c>
      <c r="F9" s="39"/>
      <c r="G9" s="39"/>
      <c r="H9" s="40"/>
      <c r="I9" s="37">
        <v>0.5</v>
      </c>
      <c r="J9" s="37"/>
      <c r="K9" s="53"/>
      <c r="L9" s="56"/>
      <c r="M9" s="56"/>
      <c r="N9" s="55"/>
    </row>
    <row r="10" ht="30" customHeight="1" spans="2:14">
      <c r="B10" s="32">
        <v>38116</v>
      </c>
      <c r="C10" s="37">
        <v>3</v>
      </c>
      <c r="D10" s="37" t="s">
        <v>108</v>
      </c>
      <c r="E10" s="38" t="s">
        <v>109</v>
      </c>
      <c r="F10" s="39"/>
      <c r="G10" s="39"/>
      <c r="H10" s="40"/>
      <c r="I10" s="37"/>
      <c r="J10" s="37"/>
      <c r="K10" s="53"/>
      <c r="L10" s="56"/>
      <c r="M10" s="56"/>
      <c r="N10" s="55"/>
    </row>
    <row r="11" ht="30" customHeight="1" spans="3:14">
      <c r="C11" s="37"/>
      <c r="D11" s="37"/>
      <c r="E11" s="38"/>
      <c r="F11" s="39"/>
      <c r="G11" s="39"/>
      <c r="H11" s="40"/>
      <c r="I11" s="56"/>
      <c r="J11" s="56"/>
      <c r="K11" s="57"/>
      <c r="L11" s="56"/>
      <c r="M11" s="56"/>
      <c r="N11" s="55"/>
    </row>
    <row r="12" ht="30" customHeight="1" spans="3:14">
      <c r="C12" s="41"/>
      <c r="D12" s="41"/>
      <c r="E12" s="42"/>
      <c r="F12" s="43"/>
      <c r="G12" s="43"/>
      <c r="H12" s="44"/>
      <c r="I12" s="56"/>
      <c r="J12" s="56"/>
      <c r="K12" s="57"/>
      <c r="L12" s="56"/>
      <c r="M12" s="56"/>
      <c r="N12" s="55"/>
    </row>
    <row r="13" ht="30" customHeight="1" spans="3:14">
      <c r="C13" s="41"/>
      <c r="D13" s="41"/>
      <c r="E13" s="42"/>
      <c r="F13" s="43"/>
      <c r="G13" s="43"/>
      <c r="H13" s="44"/>
      <c r="I13" s="56"/>
      <c r="J13" s="56"/>
      <c r="K13" s="57"/>
      <c r="L13" s="56"/>
      <c r="M13" s="56"/>
      <c r="N13" s="55"/>
    </row>
    <row r="14" ht="30" customHeight="1" spans="3:14">
      <c r="C14" s="45" t="s">
        <v>110</v>
      </c>
      <c r="D14" s="46" t="s">
        <v>111</v>
      </c>
      <c r="E14" s="47">
        <v>45697</v>
      </c>
      <c r="F14" s="46"/>
      <c r="G14" s="48" t="s">
        <v>112</v>
      </c>
      <c r="H14" s="46" t="s">
        <v>113</v>
      </c>
      <c r="I14" s="47">
        <v>45697</v>
      </c>
      <c r="J14" s="46"/>
      <c r="K14" s="48" t="s">
        <v>114</v>
      </c>
      <c r="L14" s="46" t="s">
        <v>115</v>
      </c>
      <c r="M14" s="47">
        <v>45697</v>
      </c>
      <c r="N14" s="51"/>
    </row>
  </sheetData>
  <sheetProtection sheet="1" formatCells="0" formatRows="0" insertRows="0" insertHyperlinks="0" deleteRows="0" sort="0" autoFilter="0" pivotTables="0" objects="1"/>
  <mergeCells count="12">
    <mergeCell ref="C4:M4"/>
    <mergeCell ref="C5:D5"/>
    <mergeCell ref="I5:M5"/>
    <mergeCell ref="C6:D6"/>
    <mergeCell ref="I6:M6"/>
    <mergeCell ref="E7:H7"/>
    <mergeCell ref="E8:H8"/>
    <mergeCell ref="E9:H9"/>
    <mergeCell ref="E10:H10"/>
    <mergeCell ref="E11:H11"/>
    <mergeCell ref="E12:H12"/>
    <mergeCell ref="E13:H13"/>
  </mergeCells>
  <dataValidations count="3">
    <dataValidation type="list" allowBlank="1" showInputMessage="1" showErrorMessage="1" sqref="D14">
      <formula1>配置表!$C$5:$C$65536</formula1>
    </dataValidation>
    <dataValidation type="list" allowBlank="1" showInputMessage="1" showErrorMessage="1" sqref="H14">
      <formula1>配置表!$D$5:$D$65536</formula1>
    </dataValidation>
    <dataValidation type="list" allowBlank="1" showInputMessage="1" showErrorMessage="1" sqref="L14">
      <formula1>配置表!$E$5:$E$65536</formula1>
    </dataValidation>
  </dataValidations>
  <pageMargins left="0.196527777777778" right="0.196527777777778" top="0.196527777777778" bottom="0.196527777777778" header="0.5" footer="0.5"/>
  <pageSetup paperSize="11" scale="58" fitToHeight="0" orientation="landscape"/>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C1:O6"/>
  <sheetViews>
    <sheetView showGridLines="0" workbookViewId="0">
      <selection activeCell="K19" sqref="K19"/>
    </sheetView>
  </sheetViews>
  <sheetFormatPr defaultColWidth="9" defaultRowHeight="20.1" customHeight="1" outlineLevelRow="5"/>
  <cols>
    <col min="1" max="1" width="4.625" style="13" customWidth="1"/>
    <col min="2" max="2" width="4.625" style="13" hidden="1" customWidth="1"/>
    <col min="3" max="3" width="3.875" style="13" customWidth="1"/>
    <col min="4" max="4" width="9.75" style="13" customWidth="1"/>
    <col min="5" max="5" width="14.875" style="13" customWidth="1"/>
    <col min="6" max="7" width="12.625" style="13" customWidth="1"/>
    <col min="8" max="8" width="18" style="13" customWidth="1"/>
    <col min="9" max="12" width="6.5" style="13" customWidth="1"/>
    <col min="13" max="13" width="6.625" style="13" customWidth="1"/>
    <col min="14" max="15" width="6.5" style="13" customWidth="1"/>
    <col min="16" max="16" width="9" style="13" hidden="1" customWidth="1"/>
    <col min="17" max="16384" width="9" style="13"/>
  </cols>
  <sheetData>
    <row r="1" s="11" customFormat="1" ht="39.95" customHeight="1"/>
    <row r="2" s="11" customFormat="1" ht="39.95" customHeight="1"/>
    <row r="3" s="12" customFormat="1" ht="56.1" customHeight="1" spans="3:15">
      <c r="C3" s="14" t="s">
        <v>116</v>
      </c>
      <c r="D3" s="14"/>
      <c r="E3" s="14"/>
      <c r="F3" s="14"/>
      <c r="G3" s="14"/>
      <c r="H3" s="14"/>
      <c r="I3" s="14"/>
      <c r="J3" s="14"/>
      <c r="K3" s="14"/>
      <c r="L3" s="14"/>
      <c r="M3" s="14"/>
      <c r="N3" s="14"/>
      <c r="O3" s="14"/>
    </row>
    <row r="4" ht="6" customHeight="1" spans="3:15">
      <c r="C4" s="15"/>
      <c r="D4" s="15"/>
      <c r="E4" s="15"/>
      <c r="F4" s="15"/>
      <c r="G4" s="15"/>
      <c r="H4" s="15"/>
      <c r="I4" s="15"/>
      <c r="J4" s="15"/>
      <c r="K4" s="15"/>
      <c r="L4" s="15"/>
      <c r="M4" s="15"/>
      <c r="N4" s="15"/>
      <c r="O4" s="15"/>
    </row>
    <row r="5" customHeight="1" spans="3:15">
      <c r="C5" s="15"/>
      <c r="D5" s="15"/>
      <c r="E5" s="16" t="s">
        <v>117</v>
      </c>
      <c r="F5" s="17" t="s">
        <v>118</v>
      </c>
      <c r="G5" s="15"/>
      <c r="H5" s="16" t="s">
        <v>119</v>
      </c>
      <c r="I5" s="29">
        <v>45436</v>
      </c>
      <c r="J5" s="17"/>
      <c r="K5" s="17"/>
      <c r="L5" s="15"/>
      <c r="M5" s="30" t="s">
        <v>120</v>
      </c>
      <c r="N5" s="30"/>
      <c r="O5" s="30"/>
    </row>
    <row r="6" ht="6" customHeight="1" spans="3:15">
      <c r="C6" s="15"/>
      <c r="D6" s="15"/>
      <c r="E6" s="15"/>
      <c r="F6" s="15"/>
      <c r="G6" s="15"/>
      <c r="H6" s="15"/>
      <c r="I6" s="15"/>
      <c r="J6" s="15"/>
      <c r="K6" s="15"/>
      <c r="L6" s="15"/>
      <c r="M6" s="15"/>
      <c r="N6" s="15"/>
      <c r="O6" s="15"/>
    </row>
  </sheetData>
  <sheetProtection sheet="1" formatCells="0" formatRows="0" insertRows="0" insertHyperlinks="0" deleteRows="0" sort="0" autoFilter="0" pivotTables="0" objects="1"/>
  <mergeCells count="3">
    <mergeCell ref="C3:O3"/>
    <mergeCell ref="I5:K5"/>
    <mergeCell ref="M5:O5"/>
  </mergeCells>
  <pageMargins left="0.196527777777778" right="0.196527777777778" top="0.196527777777778" bottom="0.196527777777778" header="0.5" footer="0.5"/>
  <pageSetup paperSize="128" scale="81" fitToHeight="0"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pageSetUpPr fitToPage="1"/>
  </sheetPr>
  <dimension ref="C1:P12"/>
  <sheetViews>
    <sheetView showGridLines="0" workbookViewId="0">
      <selection activeCell="J19" sqref="J19"/>
    </sheetView>
  </sheetViews>
  <sheetFormatPr defaultColWidth="9" defaultRowHeight="20.1" customHeight="1"/>
  <cols>
    <col min="1" max="1" width="4.625" style="13" customWidth="1"/>
    <col min="2" max="2" width="4.625" style="13" hidden="1" customWidth="1"/>
    <col min="3" max="3" width="3.875" style="13" customWidth="1"/>
    <col min="4" max="4" width="9.75" style="13" customWidth="1"/>
    <col min="5" max="5" width="14.875" style="13" customWidth="1"/>
    <col min="6" max="6" width="12.625" style="13" customWidth="1"/>
    <col min="7" max="7" width="18" style="13" customWidth="1"/>
    <col min="8" max="11" width="6.5" style="13" customWidth="1"/>
    <col min="12" max="12" width="6.625" style="13" customWidth="1"/>
    <col min="13" max="13" width="6.5" style="13" customWidth="1"/>
    <col min="14" max="14" width="11.625" style="13" customWidth="1"/>
    <col min="15" max="15" width="17.25" style="13" customWidth="1"/>
    <col min="16" max="16" width="9" style="13" customWidth="1"/>
    <col min="17" max="17" width="9" style="13" hidden="1" customWidth="1"/>
    <col min="18" max="16384" width="9" style="13"/>
  </cols>
  <sheetData>
    <row r="1" s="11" customFormat="1" ht="39.95" customHeight="1"/>
    <row r="2" s="11" customFormat="1" ht="39.95" customHeight="1"/>
    <row r="3" s="12" customFormat="1" ht="56.1" customHeight="1" spans="3:15">
      <c r="C3" s="14" t="s">
        <v>121</v>
      </c>
      <c r="D3" s="14"/>
      <c r="E3" s="14"/>
      <c r="F3" s="14"/>
      <c r="G3" s="14"/>
      <c r="H3" s="14"/>
      <c r="I3" s="14"/>
      <c r="J3" s="14"/>
      <c r="K3" s="14"/>
      <c r="L3" s="14"/>
      <c r="M3" s="23"/>
      <c r="N3" s="23"/>
      <c r="O3" s="24"/>
    </row>
    <row r="4" ht="6" customHeight="1" spans="3:15">
      <c r="C4" s="15"/>
      <c r="D4" s="15"/>
      <c r="E4" s="15"/>
      <c r="F4" s="15"/>
      <c r="G4" s="15"/>
      <c r="H4" s="15"/>
      <c r="I4" s="15"/>
      <c r="J4" s="15"/>
      <c r="K4" s="15"/>
      <c r="L4" s="15"/>
      <c r="M4" s="15"/>
      <c r="N4" s="15"/>
      <c r="O4" s="15"/>
    </row>
    <row r="5" customHeight="1" spans="3:15">
      <c r="C5" s="16" t="s">
        <v>122</v>
      </c>
      <c r="D5" s="16"/>
      <c r="E5" s="17"/>
      <c r="F5" s="17"/>
      <c r="G5" s="16" t="s">
        <v>123</v>
      </c>
      <c r="H5" s="18"/>
      <c r="I5" s="18"/>
      <c r="J5" s="25"/>
      <c r="K5" s="16" t="s">
        <v>124</v>
      </c>
      <c r="L5" s="16"/>
      <c r="M5" s="26"/>
      <c r="N5" s="26"/>
      <c r="O5" s="25"/>
    </row>
    <row r="6" ht="6" customHeight="1" spans="3:15">
      <c r="C6" s="15"/>
      <c r="D6" s="15"/>
      <c r="E6" s="15"/>
      <c r="F6" s="15"/>
      <c r="G6" s="15"/>
      <c r="H6" s="15"/>
      <c r="I6" s="15"/>
      <c r="J6" s="15"/>
      <c r="K6" s="15"/>
      <c r="L6" s="15"/>
      <c r="M6" s="15"/>
      <c r="N6" s="15"/>
      <c r="O6" s="15"/>
    </row>
    <row r="7" ht="36" customHeight="1" spans="3:16">
      <c r="C7" s="19" t="s">
        <v>125</v>
      </c>
      <c r="D7" s="19" t="s">
        <v>23</v>
      </c>
      <c r="E7" s="19" t="s">
        <v>24</v>
      </c>
      <c r="F7" s="19" t="s">
        <v>126</v>
      </c>
      <c r="G7" s="19" t="s">
        <v>28</v>
      </c>
      <c r="H7" s="19" t="s">
        <v>29</v>
      </c>
      <c r="I7" s="19" t="s">
        <v>30</v>
      </c>
      <c r="J7" s="19" t="s">
        <v>127</v>
      </c>
      <c r="K7" s="19" t="s">
        <v>128</v>
      </c>
      <c r="L7" s="19" t="s">
        <v>31</v>
      </c>
      <c r="M7" s="19" t="s">
        <v>33</v>
      </c>
      <c r="N7" s="19" t="s">
        <v>63</v>
      </c>
      <c r="O7" s="19" t="s">
        <v>129</v>
      </c>
      <c r="P7" s="19" t="s">
        <v>69</v>
      </c>
    </row>
    <row r="8" ht="48" customHeight="1" spans="3:16">
      <c r="C8" s="20"/>
      <c r="D8" s="21"/>
      <c r="E8" s="21"/>
      <c r="F8" s="21"/>
      <c r="G8" s="21"/>
      <c r="H8" s="21"/>
      <c r="I8" s="21"/>
      <c r="J8" s="21"/>
      <c r="K8" s="21"/>
      <c r="L8" s="21"/>
      <c r="M8" s="21"/>
      <c r="N8" s="27"/>
      <c r="O8" s="21"/>
      <c r="P8" s="20"/>
    </row>
    <row r="9" ht="48" customHeight="1" spans="3:16">
      <c r="C9" s="20"/>
      <c r="D9" s="21"/>
      <c r="E9" s="21"/>
      <c r="F9" s="21"/>
      <c r="G9" s="21"/>
      <c r="H9" s="21"/>
      <c r="I9" s="21"/>
      <c r="J9" s="21"/>
      <c r="K9" s="21"/>
      <c r="L9" s="21"/>
      <c r="M9" s="21"/>
      <c r="N9" s="27"/>
      <c r="O9" s="21"/>
      <c r="P9" s="20"/>
    </row>
    <row r="10" customHeight="1" spans="3:16">
      <c r="C10" s="22">
        <f>SUM(K8:K9)</f>
        <v>0</v>
      </c>
      <c r="D10" s="22"/>
      <c r="E10" s="22"/>
      <c r="F10" s="22"/>
      <c r="G10" s="22"/>
      <c r="H10" s="22"/>
      <c r="I10" s="22"/>
      <c r="J10" s="28">
        <f>SUM(K8:K9)</f>
        <v>0</v>
      </c>
      <c r="K10" s="28"/>
      <c r="L10" s="28"/>
      <c r="M10" s="28"/>
      <c r="N10" s="28"/>
      <c r="O10" s="28"/>
      <c r="P10" s="28"/>
    </row>
    <row r="11" customHeight="1" spans="3:15">
      <c r="C11" s="16" t="s">
        <v>130</v>
      </c>
      <c r="D11" s="16"/>
      <c r="E11" s="17"/>
      <c r="F11" s="17"/>
      <c r="G11" s="17"/>
      <c r="H11" s="15"/>
      <c r="I11" s="16" t="s">
        <v>131</v>
      </c>
      <c r="J11" s="16"/>
      <c r="K11" s="17"/>
      <c r="L11" s="17"/>
      <c r="M11" s="17"/>
      <c r="N11" s="17"/>
      <c r="O11" s="17"/>
    </row>
    <row r="12" customHeight="1" spans="3:15">
      <c r="C12" s="16" t="s">
        <v>132</v>
      </c>
      <c r="D12" s="16"/>
      <c r="E12" s="17"/>
      <c r="F12" s="17"/>
      <c r="G12" s="17"/>
      <c r="H12" s="15"/>
      <c r="I12" s="15"/>
      <c r="J12" s="15"/>
      <c r="K12" s="15"/>
      <c r="L12" s="15"/>
      <c r="M12" s="15"/>
      <c r="N12" s="15"/>
      <c r="O12" s="15"/>
    </row>
  </sheetData>
  <sheetProtection formatCells="0" formatRows="0" insertRows="0" insertHyperlinks="0" deleteRows="0" sort="0" autoFilter="0" pivotTables="0"/>
  <sortState ref="D8:Q10">
    <sortCondition ref="D8:D10"/>
  </sortState>
  <mergeCells count="15">
    <mergeCell ref="C3:L3"/>
    <mergeCell ref="M3:N3"/>
    <mergeCell ref="C5:D5"/>
    <mergeCell ref="E5:F5"/>
    <mergeCell ref="H5:I5"/>
    <mergeCell ref="K5:L5"/>
    <mergeCell ref="M5:N5"/>
    <mergeCell ref="C10:I10"/>
    <mergeCell ref="J10:P10"/>
    <mergeCell ref="C11:D11"/>
    <mergeCell ref="E11:G11"/>
    <mergeCell ref="I11:J11"/>
    <mergeCell ref="K11:O11"/>
    <mergeCell ref="C12:D12"/>
    <mergeCell ref="E12:G12"/>
  </mergeCells>
  <pageMargins left="0.196527777777778" right="0.196527777777778" top="0.196527777777778" bottom="0.196527777777778" header="0.5" footer="0.5"/>
  <pageSetup paperSize="128" scale="77" fitToHeight="0"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V4"/>
  <sheetViews>
    <sheetView showGridLines="0" workbookViewId="0">
      <pane ySplit="4" topLeftCell="A15" activePane="bottomLeft" state="frozen"/>
      <selection/>
      <selection pane="bottomLeft" activeCell="A57" sqref="$A57:$XFD57"/>
    </sheetView>
  </sheetViews>
  <sheetFormatPr defaultColWidth="9" defaultRowHeight="20.1" customHeight="1" outlineLevelRow="3"/>
  <cols>
    <col min="1" max="1" width="4.625" style="1" customWidth="1"/>
    <col min="2" max="2" width="4.625" style="1" hidden="1" customWidth="1"/>
    <col min="3" max="3" width="41.625" style="2" customWidth="1"/>
    <col min="4" max="4" width="14.75" style="2" customWidth="1"/>
    <col min="5" max="5" width="15.25" style="2" customWidth="1"/>
    <col min="6" max="6" width="14.375" style="10" customWidth="1"/>
    <col min="7" max="7" width="19.5" style="2" customWidth="1"/>
    <col min="8" max="8" width="14.5" style="2" customWidth="1"/>
    <col min="9" max="9" width="27.625" style="2" customWidth="1"/>
    <col min="10" max="10" width="21.875" style="2" customWidth="1"/>
    <col min="11" max="11" width="23" style="2" customWidth="1"/>
    <col min="12" max="16" width="14.5" style="2" customWidth="1"/>
    <col min="17" max="17" width="12.625" style="2" customWidth="1"/>
    <col min="18" max="18" width="28.625" style="2" customWidth="1"/>
    <col min="19" max="19" width="18.625" style="2" customWidth="1"/>
    <col min="20" max="22" width="12.625" style="2" customWidth="1"/>
    <col min="23" max="23" width="12.625" style="1" hidden="1" customWidth="1"/>
    <col min="24" max="16313" width="12.625" style="1" customWidth="1"/>
    <col min="16314" max="16314" width="12.625" style="1"/>
    <col min="16315" max="16318" width="9" style="1"/>
    <col min="16319" max="16319" width="12.625" style="1"/>
    <col min="16320" max="16384" width="9" style="1"/>
  </cols>
  <sheetData>
    <row r="1" ht="39.95" customHeight="1" spans="3:22">
      <c r="C1" s="1"/>
      <c r="D1" s="1"/>
      <c r="E1" s="1"/>
      <c r="F1" s="1"/>
      <c r="G1" s="1"/>
      <c r="H1" s="1"/>
      <c r="I1" s="1"/>
      <c r="J1" s="1"/>
      <c r="K1" s="1"/>
      <c r="L1" s="1"/>
      <c r="M1" s="1"/>
      <c r="N1" s="1"/>
      <c r="O1" s="1"/>
      <c r="P1" s="1"/>
      <c r="Q1" s="1"/>
      <c r="R1" s="1"/>
      <c r="S1" s="1"/>
      <c r="T1" s="1"/>
      <c r="U1" s="1"/>
      <c r="V1" s="1"/>
    </row>
    <row r="2" ht="39.95" customHeight="1" spans="3:22">
      <c r="C2" s="4" t="s">
        <v>133</v>
      </c>
      <c r="D2" s="4"/>
      <c r="E2" s="4"/>
      <c r="F2" s="4"/>
      <c r="G2" s="4"/>
      <c r="H2" s="4"/>
      <c r="I2" s="1"/>
      <c r="J2" s="1"/>
      <c r="K2" s="1"/>
      <c r="L2" s="1"/>
      <c r="M2" s="1"/>
      <c r="N2" s="1"/>
      <c r="O2" s="1"/>
      <c r="P2" s="1"/>
      <c r="Q2" s="1"/>
      <c r="R2" s="1"/>
      <c r="S2" s="1"/>
      <c r="T2" s="1"/>
      <c r="U2" s="1"/>
      <c r="V2" s="1"/>
    </row>
    <row r="3" ht="30" customHeight="1" spans="3:22">
      <c r="C3" s="1"/>
      <c r="D3" s="1"/>
      <c r="E3" s="1"/>
      <c r="F3" s="1"/>
      <c r="G3" s="1"/>
      <c r="H3" s="1"/>
      <c r="I3" s="1"/>
      <c r="J3" s="1"/>
      <c r="K3" s="1"/>
      <c r="L3" s="1"/>
      <c r="M3" s="1"/>
      <c r="N3" s="1"/>
      <c r="O3" s="1"/>
      <c r="P3" s="1"/>
      <c r="Q3" s="1"/>
      <c r="R3" s="1"/>
      <c r="S3" s="1"/>
      <c r="T3" s="1"/>
      <c r="U3" s="1"/>
      <c r="V3" s="1"/>
    </row>
    <row r="4" ht="30" customHeight="1" spans="3:22">
      <c r="C4" s="5" t="s">
        <v>134</v>
      </c>
      <c r="D4" s="5" t="s">
        <v>135</v>
      </c>
      <c r="E4" s="5" t="s">
        <v>136</v>
      </c>
      <c r="F4" s="5" t="s">
        <v>63</v>
      </c>
      <c r="G4" s="5" t="s">
        <v>137</v>
      </c>
      <c r="H4" s="5" t="s">
        <v>23</v>
      </c>
      <c r="I4" s="5" t="s">
        <v>24</v>
      </c>
      <c r="J4" s="5" t="s">
        <v>126</v>
      </c>
      <c r="K4" s="5" t="s">
        <v>28</v>
      </c>
      <c r="L4" s="5" t="s">
        <v>29</v>
      </c>
      <c r="M4" s="5" t="s">
        <v>30</v>
      </c>
      <c r="N4" s="5" t="s">
        <v>127</v>
      </c>
      <c r="O4" s="5" t="s">
        <v>128</v>
      </c>
      <c r="P4" s="5" t="s">
        <v>31</v>
      </c>
      <c r="Q4" s="5" t="s">
        <v>33</v>
      </c>
      <c r="R4" s="5" t="s">
        <v>129</v>
      </c>
      <c r="S4" s="5" t="s">
        <v>69</v>
      </c>
      <c r="T4" s="5" t="s">
        <v>138</v>
      </c>
      <c r="U4" s="5" t="s">
        <v>139</v>
      </c>
      <c r="V4" s="5" t="s">
        <v>140</v>
      </c>
    </row>
  </sheetData>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7"/>
  <sheetViews>
    <sheetView showGridLines="0" workbookViewId="0">
      <pane ySplit="4" topLeftCell="A5" activePane="bottomLeft" state="frozen"/>
      <selection/>
      <selection pane="bottomLeft" activeCell="J13" sqref="J13:J14"/>
    </sheetView>
  </sheetViews>
  <sheetFormatPr defaultColWidth="12.625" defaultRowHeight="20.1" customHeight="1" outlineLevelRow="6" outlineLevelCol="4"/>
  <cols>
    <col min="1" max="1" width="4.625" customWidth="1"/>
    <col min="2" max="2" width="4.625" hidden="1" customWidth="1"/>
    <col min="3" max="5" width="12.625" style="2" customWidth="1"/>
    <col min="6" max="6" width="12.625" hidden="1" customWidth="1"/>
    <col min="7" max="7" width="12.625" customWidth="1"/>
  </cols>
  <sheetData>
    <row r="1" ht="39.95" customHeight="1" spans="3:5">
      <c r="C1" s="1"/>
      <c r="D1" s="1"/>
      <c r="E1" s="1"/>
    </row>
    <row r="2" ht="39.95" customHeight="1" spans="3:5">
      <c r="C2" s="4" t="s">
        <v>141</v>
      </c>
      <c r="D2" s="4"/>
      <c r="E2" s="4"/>
    </row>
    <row r="3" ht="30" customHeight="1" spans="3:5">
      <c r="C3" s="1"/>
      <c r="D3" s="1"/>
      <c r="E3" s="1"/>
    </row>
    <row r="4" ht="30" customHeight="1" spans="3:5">
      <c r="C4" s="5" t="s">
        <v>142</v>
      </c>
      <c r="D4" s="5" t="s">
        <v>143</v>
      </c>
      <c r="E4" s="5" t="s">
        <v>144</v>
      </c>
    </row>
    <row r="5" customHeight="1" spans="2:5">
      <c r="B5">
        <v>1</v>
      </c>
      <c r="C5" s="2" t="s">
        <v>111</v>
      </c>
      <c r="D5" s="2" t="s">
        <v>111</v>
      </c>
      <c r="E5" s="2" t="s">
        <v>111</v>
      </c>
    </row>
    <row r="6" customHeight="1" spans="2:5">
      <c r="B6">
        <v>12</v>
      </c>
      <c r="C6" s="2" t="s">
        <v>115</v>
      </c>
      <c r="D6" s="2" t="s">
        <v>115</v>
      </c>
      <c r="E6" s="2" t="s">
        <v>115</v>
      </c>
    </row>
    <row r="7" customHeight="1" spans="2:5">
      <c r="B7">
        <v>14</v>
      </c>
      <c r="C7" s="2" t="s">
        <v>113</v>
      </c>
      <c r="D7" s="2" t="s">
        <v>113</v>
      </c>
      <c r="E7" s="2" t="s">
        <v>113</v>
      </c>
    </row>
  </sheetData>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N39"/>
  <sheetViews>
    <sheetView workbookViewId="0">
      <selection activeCell="D18" sqref="D18"/>
    </sheetView>
  </sheetViews>
  <sheetFormatPr defaultColWidth="9" defaultRowHeight="14.25"/>
  <cols>
    <col min="1" max="1" width="12.75" style="1" customWidth="1"/>
    <col min="2" max="2" width="14.625" style="1" customWidth="1"/>
    <col min="3" max="3" width="16.75" style="6" customWidth="1"/>
    <col min="4" max="4" width="16.625" style="7" customWidth="1"/>
    <col min="5" max="8" width="9" style="7"/>
  </cols>
  <sheetData>
    <row r="1" s="1" customFormat="1" spans="1:14">
      <c r="A1" s="1" t="s">
        <v>145</v>
      </c>
      <c r="B1" s="8" t="s">
        <v>146</v>
      </c>
      <c r="C1" s="8" t="s">
        <v>147</v>
      </c>
      <c r="D1" s="6"/>
      <c r="E1" s="6"/>
      <c r="F1" s="6"/>
      <c r="G1" s="6"/>
      <c r="H1" s="6"/>
      <c r="I1" s="6"/>
      <c r="J1" s="6"/>
      <c r="K1" s="6"/>
      <c r="L1" s="6"/>
      <c r="M1" s="6"/>
      <c r="N1" s="6"/>
    </row>
    <row r="2" spans="1:14">
      <c r="A2" s="9">
        <v>45308</v>
      </c>
      <c r="B2" s="8">
        <v>4</v>
      </c>
      <c r="C2" s="8"/>
      <c r="I2" s="7"/>
      <c r="J2" s="7"/>
      <c r="K2" s="7"/>
      <c r="L2" s="7"/>
      <c r="M2" s="7"/>
      <c r="N2" s="7"/>
    </row>
    <row r="3" spans="1:14">
      <c r="A3" s="9">
        <v>45309</v>
      </c>
      <c r="B3" s="8">
        <v>15</v>
      </c>
      <c r="C3" s="8"/>
      <c r="I3" s="7"/>
      <c r="J3" s="7"/>
      <c r="K3" s="7"/>
      <c r="L3" s="7"/>
      <c r="M3" s="7"/>
      <c r="N3" s="7"/>
    </row>
    <row r="4" spans="1:14">
      <c r="A4" s="9">
        <v>45310</v>
      </c>
      <c r="B4" s="8">
        <v>8</v>
      </c>
      <c r="C4" s="8"/>
      <c r="I4" s="7"/>
      <c r="J4" s="7"/>
      <c r="K4" s="7"/>
      <c r="L4" s="7"/>
      <c r="M4" s="7"/>
      <c r="N4" s="7"/>
    </row>
    <row r="5" spans="1:14">
      <c r="A5" s="9">
        <v>45313</v>
      </c>
      <c r="B5" s="8">
        <v>27</v>
      </c>
      <c r="C5" s="8"/>
      <c r="I5" s="7"/>
      <c r="J5" s="7"/>
      <c r="K5" s="7"/>
      <c r="L5" s="7"/>
      <c r="M5" s="7"/>
      <c r="N5" s="7"/>
    </row>
    <row r="6" spans="1:14">
      <c r="A6" s="9">
        <v>45314</v>
      </c>
      <c r="B6" s="8">
        <v>11</v>
      </c>
      <c r="C6" s="8"/>
      <c r="I6" s="7"/>
      <c r="J6" s="7"/>
      <c r="K6" s="7"/>
      <c r="L6" s="7"/>
      <c r="M6" s="7"/>
      <c r="N6" s="7"/>
    </row>
    <row r="7" spans="1:14">
      <c r="A7" s="9">
        <v>45315</v>
      </c>
      <c r="B7" s="8">
        <v>15</v>
      </c>
      <c r="C7" s="8"/>
      <c r="I7" s="7"/>
      <c r="J7" s="7"/>
      <c r="K7" s="7"/>
      <c r="L7" s="7"/>
      <c r="M7" s="7"/>
      <c r="N7" s="7"/>
    </row>
    <row r="8" spans="1:14">
      <c r="A8" s="9">
        <v>45316</v>
      </c>
      <c r="B8" s="8">
        <v>27</v>
      </c>
      <c r="C8" s="8"/>
      <c r="I8" s="7"/>
      <c r="J8" s="7"/>
      <c r="K8" s="7"/>
      <c r="L8" s="7"/>
      <c r="M8" s="7"/>
      <c r="N8" s="7"/>
    </row>
    <row r="9" spans="1:14">
      <c r="A9" s="9">
        <v>45317</v>
      </c>
      <c r="B9" s="8">
        <v>59</v>
      </c>
      <c r="C9" s="8"/>
      <c r="I9" s="7"/>
      <c r="J9" s="7"/>
      <c r="K9" s="7"/>
      <c r="L9" s="7"/>
      <c r="M9" s="7"/>
      <c r="N9" s="7"/>
    </row>
    <row r="10" spans="1:14">
      <c r="A10" s="9">
        <v>45318</v>
      </c>
      <c r="B10" s="8">
        <v>13</v>
      </c>
      <c r="C10" s="8"/>
      <c r="I10" s="7"/>
      <c r="J10" s="7"/>
      <c r="K10" s="7"/>
      <c r="L10" s="7"/>
      <c r="M10" s="7"/>
      <c r="N10" s="7"/>
    </row>
    <row r="11" spans="1:14">
      <c r="A11" s="9">
        <v>45319</v>
      </c>
      <c r="B11" s="8">
        <v>15</v>
      </c>
      <c r="C11" s="8"/>
      <c r="I11" s="7"/>
      <c r="J11" s="7"/>
      <c r="K11" s="7"/>
      <c r="L11" s="7"/>
      <c r="M11" s="7"/>
      <c r="N11" s="7"/>
    </row>
    <row r="12" spans="1:14">
      <c r="A12" s="9">
        <v>45320</v>
      </c>
      <c r="B12" s="8">
        <v>19</v>
      </c>
      <c r="C12" s="8"/>
      <c r="I12" s="7"/>
      <c r="J12" s="7"/>
      <c r="K12" s="7"/>
      <c r="L12" s="7"/>
      <c r="M12" s="7"/>
      <c r="N12" s="7"/>
    </row>
    <row r="13" spans="1:14">
      <c r="A13" s="9">
        <v>45321</v>
      </c>
      <c r="B13" s="8">
        <v>33</v>
      </c>
      <c r="C13" s="8"/>
      <c r="I13" s="7"/>
      <c r="J13" s="7"/>
      <c r="K13" s="7"/>
      <c r="L13" s="7"/>
      <c r="M13" s="7"/>
      <c r="N13" s="7"/>
    </row>
    <row r="14" spans="1:14">
      <c r="A14" s="9">
        <v>45322</v>
      </c>
      <c r="B14" s="8">
        <v>26</v>
      </c>
      <c r="C14" s="8"/>
      <c r="I14" s="7"/>
      <c r="J14" s="7"/>
      <c r="K14" s="7"/>
      <c r="L14" s="7"/>
      <c r="M14" s="7"/>
      <c r="N14" s="7"/>
    </row>
    <row r="15" spans="1:14">
      <c r="A15" s="9">
        <v>45324</v>
      </c>
      <c r="B15" s="8">
        <v>18</v>
      </c>
      <c r="C15" s="8"/>
      <c r="I15" s="7"/>
      <c r="J15" s="7"/>
      <c r="K15" s="7"/>
      <c r="L15" s="7"/>
      <c r="M15" s="7"/>
      <c r="N15" s="7"/>
    </row>
    <row r="16" spans="1:14">
      <c r="A16" s="9">
        <v>45325</v>
      </c>
      <c r="B16" s="8">
        <v>33</v>
      </c>
      <c r="C16" s="8">
        <v>5</v>
      </c>
      <c r="I16" s="7"/>
      <c r="J16" s="7"/>
      <c r="K16" s="7"/>
      <c r="L16" s="7"/>
      <c r="M16" s="7"/>
      <c r="N16" s="7"/>
    </row>
    <row r="17" spans="1:14">
      <c r="A17" s="9" t="s">
        <v>148</v>
      </c>
      <c r="B17" s="8"/>
      <c r="C17" s="8"/>
      <c r="I17" s="7"/>
      <c r="J17" s="7"/>
      <c r="K17" s="7"/>
      <c r="L17" s="7"/>
      <c r="M17" s="7"/>
      <c r="N17" s="7"/>
    </row>
    <row r="18" spans="1:14">
      <c r="A18" s="8"/>
      <c r="B18" s="8"/>
      <c r="C18" s="8"/>
      <c r="I18" s="7"/>
      <c r="J18" s="7"/>
      <c r="K18" s="7"/>
      <c r="L18" s="7"/>
      <c r="M18" s="7"/>
      <c r="N18" s="7"/>
    </row>
    <row r="19" spans="1:14">
      <c r="A19" s="8"/>
      <c r="B19" s="8"/>
      <c r="C19" s="8"/>
      <c r="I19" s="7"/>
      <c r="J19" s="7"/>
      <c r="K19" s="7"/>
      <c r="L19" s="7"/>
      <c r="M19" s="7"/>
      <c r="N19" s="7"/>
    </row>
    <row r="20" spans="1:14">
      <c r="A20" s="8"/>
      <c r="B20" s="8"/>
      <c r="C20" s="8"/>
      <c r="I20" s="7"/>
      <c r="J20" s="7"/>
      <c r="K20" s="7"/>
      <c r="L20" s="7"/>
      <c r="M20" s="7"/>
      <c r="N20" s="7"/>
    </row>
    <row r="21" spans="1:14">
      <c r="A21" s="8"/>
      <c r="B21" s="8"/>
      <c r="C21" s="8"/>
      <c r="I21" s="7"/>
      <c r="J21" s="7"/>
      <c r="K21" s="7"/>
      <c r="L21" s="7"/>
      <c r="M21" s="7"/>
      <c r="N21" s="7"/>
    </row>
    <row r="22" spans="1:14">
      <c r="A22" s="8"/>
      <c r="B22" s="8"/>
      <c r="C22" s="8"/>
      <c r="I22" s="7"/>
      <c r="J22" s="7"/>
      <c r="K22" s="7"/>
      <c r="L22" s="7"/>
      <c r="M22" s="7"/>
      <c r="N22" s="7"/>
    </row>
    <row r="23" spans="1:14">
      <c r="A23" s="8"/>
      <c r="B23" s="8"/>
      <c r="C23" s="8"/>
      <c r="I23" s="7"/>
      <c r="J23" s="7"/>
      <c r="K23" s="7"/>
      <c r="L23" s="7"/>
      <c r="M23" s="7"/>
      <c r="N23" s="7"/>
    </row>
    <row r="24" spans="1:14">
      <c r="A24" s="8"/>
      <c r="B24" s="8"/>
      <c r="C24" s="8"/>
      <c r="I24" s="7"/>
      <c r="J24" s="7"/>
      <c r="K24" s="7"/>
      <c r="L24" s="7"/>
      <c r="M24" s="7"/>
      <c r="N24" s="7"/>
    </row>
    <row r="25" spans="1:14">
      <c r="A25" s="8"/>
      <c r="B25" s="8"/>
      <c r="C25" s="8"/>
      <c r="I25" s="7"/>
      <c r="J25" s="7"/>
      <c r="K25" s="7"/>
      <c r="L25" s="7"/>
      <c r="M25" s="7"/>
      <c r="N25" s="7"/>
    </row>
    <row r="26" spans="1:14">
      <c r="A26" s="8"/>
      <c r="B26" s="8"/>
      <c r="C26" s="8"/>
      <c r="I26" s="7"/>
      <c r="J26" s="7"/>
      <c r="K26" s="7"/>
      <c r="L26" s="7"/>
      <c r="M26" s="7"/>
      <c r="N26" s="7"/>
    </row>
    <row r="27" spans="1:14">
      <c r="A27" s="8"/>
      <c r="B27" s="8"/>
      <c r="C27" s="8"/>
      <c r="I27" s="7"/>
      <c r="J27" s="7"/>
      <c r="K27" s="7"/>
      <c r="L27" s="7"/>
      <c r="M27" s="7"/>
      <c r="N27" s="7"/>
    </row>
    <row r="28" spans="1:14">
      <c r="A28" s="8"/>
      <c r="B28" s="8"/>
      <c r="C28" s="8"/>
      <c r="I28" s="7"/>
      <c r="J28" s="7"/>
      <c r="K28" s="7"/>
      <c r="L28" s="7"/>
      <c r="M28" s="7"/>
      <c r="N28" s="7"/>
    </row>
    <row r="29" spans="1:14">
      <c r="A29" s="8"/>
      <c r="B29" s="8"/>
      <c r="C29" s="8"/>
      <c r="I29" s="7"/>
      <c r="J29" s="7"/>
      <c r="K29" s="7"/>
      <c r="L29" s="7"/>
      <c r="M29" s="7"/>
      <c r="N29" s="7"/>
    </row>
    <row r="30" spans="1:14">
      <c r="A30" s="8"/>
      <c r="B30" s="8"/>
      <c r="C30" s="8"/>
      <c r="I30" s="7"/>
      <c r="J30" s="7"/>
      <c r="K30" s="7"/>
      <c r="L30" s="7"/>
      <c r="M30" s="7"/>
      <c r="N30" s="7"/>
    </row>
    <row r="31" spans="1:14">
      <c r="A31" s="8"/>
      <c r="B31" s="8"/>
      <c r="C31" s="8"/>
      <c r="I31" s="7"/>
      <c r="J31" s="7"/>
      <c r="K31" s="7"/>
      <c r="L31" s="7"/>
      <c r="M31" s="7"/>
      <c r="N31" s="7"/>
    </row>
    <row r="32" spans="1:14">
      <c r="A32" s="8"/>
      <c r="B32" s="8"/>
      <c r="C32" s="8"/>
      <c r="I32" s="7"/>
      <c r="J32" s="7"/>
      <c r="K32" s="7"/>
      <c r="L32" s="7"/>
      <c r="M32" s="7"/>
      <c r="N32" s="7"/>
    </row>
    <row r="33" spans="1:14">
      <c r="A33" s="8"/>
      <c r="B33" s="8"/>
      <c r="C33" s="8"/>
      <c r="I33" s="7"/>
      <c r="J33" s="7"/>
      <c r="K33" s="7"/>
      <c r="L33" s="7"/>
      <c r="M33" s="7"/>
      <c r="N33" s="7"/>
    </row>
    <row r="34" spans="1:14">
      <c r="A34" s="8"/>
      <c r="B34" s="8"/>
      <c r="C34" s="8"/>
      <c r="I34" s="7"/>
      <c r="J34" s="7"/>
      <c r="K34" s="7"/>
      <c r="L34" s="7"/>
      <c r="M34" s="7"/>
      <c r="N34" s="7"/>
    </row>
    <row r="35" spans="1:14">
      <c r="A35" s="8"/>
      <c r="B35" s="8"/>
      <c r="C35" s="8"/>
      <c r="I35" s="7"/>
      <c r="J35" s="7"/>
      <c r="K35" s="7"/>
      <c r="L35" s="7"/>
      <c r="M35" s="7"/>
      <c r="N35" s="7"/>
    </row>
    <row r="36" spans="1:14">
      <c r="A36" s="8"/>
      <c r="B36" s="8"/>
      <c r="C36" s="8"/>
      <c r="I36" s="7"/>
      <c r="J36" s="7"/>
      <c r="K36" s="7"/>
      <c r="L36" s="7"/>
      <c r="M36" s="7"/>
      <c r="N36" s="7"/>
    </row>
    <row r="37" spans="1:14">
      <c r="A37" s="8"/>
      <c r="B37" s="8"/>
      <c r="C37" s="8"/>
      <c r="I37" s="7"/>
      <c r="J37" s="7"/>
      <c r="K37" s="7"/>
      <c r="L37" s="7"/>
      <c r="M37" s="7"/>
      <c r="N37" s="7"/>
    </row>
    <row r="38" spans="1:14">
      <c r="A38" s="8"/>
      <c r="B38" s="8"/>
      <c r="C38" s="8"/>
      <c r="I38" s="7"/>
      <c r="J38" s="7"/>
      <c r="K38" s="7"/>
      <c r="L38" s="7"/>
      <c r="M38" s="7"/>
      <c r="N38" s="7"/>
    </row>
    <row r="39" spans="1:14">
      <c r="A39" s="8"/>
      <c r="B39" s="8"/>
      <c r="C39" s="8"/>
      <c r="I39" s="7"/>
      <c r="J39" s="7"/>
      <c r="K39" s="7"/>
      <c r="L39" s="7"/>
      <c r="M39" s="7"/>
      <c r="N39" s="7"/>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D1"/>
  <sheetViews>
    <sheetView workbookViewId="0">
      <selection activeCell="L15" sqref="L15"/>
    </sheetView>
  </sheetViews>
  <sheetFormatPr defaultColWidth="9" defaultRowHeight="14.25" outlineLevelCol="3"/>
  <sheetData>
    <row r="1" ht="15" spans="1:4">
      <c r="A1" s="5" t="s">
        <v>22</v>
      </c>
      <c r="B1" s="5" t="s">
        <v>24</v>
      </c>
      <c r="C1" s="5" t="s">
        <v>28</v>
      </c>
      <c r="D1" s="5" t="s">
        <v>149</v>
      </c>
    </row>
  </sheetData>
  <pageMargins left="0.75" right="0.75" top="1" bottom="1" header="0.5" footer="0.5"/>
  <pageSetup paperSize="9" orientation="portrait"/>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F12"/>
  <sheetViews>
    <sheetView showGridLines="0" workbookViewId="0">
      <pane ySplit="4" topLeftCell="A5" activePane="bottomLeft" state="frozen"/>
      <selection/>
      <selection pane="bottomLeft" activeCell="H20" sqref="H20"/>
    </sheetView>
  </sheetViews>
  <sheetFormatPr defaultColWidth="12.625" defaultRowHeight="20.1" customHeight="1" outlineLevelCol="5"/>
  <cols>
    <col min="1" max="1" width="4.625" style="1" customWidth="1"/>
    <col min="2" max="2" width="4.625" style="1" hidden="1" customWidth="1"/>
    <col min="3" max="3" width="12.625" style="2" customWidth="1"/>
    <col min="4" max="5" width="12.625" style="3" customWidth="1"/>
    <col min="6" max="6" width="12.625" style="2" customWidth="1"/>
    <col min="7" max="7" width="12.625" style="1" customWidth="1"/>
    <col min="8" max="16384" width="12.625" style="1"/>
  </cols>
  <sheetData>
    <row r="1" ht="39.95" customHeight="1" spans="3:6">
      <c r="C1" s="1"/>
      <c r="D1" s="1"/>
      <c r="E1" s="1"/>
      <c r="F1" s="1"/>
    </row>
    <row r="2" ht="39.95" customHeight="1" spans="3:6">
      <c r="C2" s="4" t="s">
        <v>150</v>
      </c>
      <c r="D2" s="1"/>
      <c r="E2" s="1"/>
      <c r="F2" s="1"/>
    </row>
    <row r="3" ht="30" customHeight="1" spans="3:6">
      <c r="C3" s="1"/>
      <c r="D3" s="1"/>
      <c r="E3" s="1"/>
      <c r="F3" s="1"/>
    </row>
    <row r="4" ht="30" customHeight="1" spans="3:6">
      <c r="C4" s="5" t="s">
        <v>151</v>
      </c>
      <c r="D4" s="5" t="s">
        <v>152</v>
      </c>
      <c r="E4" s="5" t="s">
        <v>153</v>
      </c>
      <c r="F4" s="5" t="s">
        <v>154</v>
      </c>
    </row>
    <row r="5" customHeight="1" spans="2:6">
      <c r="B5" s="1">
        <v>1</v>
      </c>
      <c r="C5" s="2" t="s">
        <v>20</v>
      </c>
      <c r="D5" s="3" t="s">
        <v>155</v>
      </c>
      <c r="E5" s="3" t="s">
        <v>156</v>
      </c>
      <c r="F5" s="2" t="s">
        <v>20</v>
      </c>
    </row>
    <row r="6" customHeight="1" spans="2:6">
      <c r="B6" s="1">
        <v>3</v>
      </c>
      <c r="C6" s="2" t="s">
        <v>111</v>
      </c>
      <c r="D6" s="3" t="s">
        <v>142</v>
      </c>
      <c r="E6" s="3" t="s">
        <v>157</v>
      </c>
      <c r="F6" s="2" t="s">
        <v>158</v>
      </c>
    </row>
    <row r="7" customHeight="1" spans="2:6">
      <c r="B7" s="1">
        <v>4</v>
      </c>
      <c r="C7" s="2" t="s">
        <v>159</v>
      </c>
      <c r="D7" s="3" t="s">
        <v>160</v>
      </c>
      <c r="E7" s="3" t="s">
        <v>157</v>
      </c>
      <c r="F7" s="2" t="s">
        <v>158</v>
      </c>
    </row>
    <row r="8" customHeight="1" spans="2:6">
      <c r="B8" s="1">
        <v>5</v>
      </c>
      <c r="C8" s="2" t="s">
        <v>161</v>
      </c>
      <c r="D8" s="3" t="s">
        <v>162</v>
      </c>
      <c r="E8" s="3" t="s">
        <v>157</v>
      </c>
      <c r="F8" s="2" t="s">
        <v>158</v>
      </c>
    </row>
    <row r="9" customHeight="1" spans="2:6">
      <c r="B9" s="1">
        <v>6</v>
      </c>
      <c r="C9" s="2" t="s">
        <v>159</v>
      </c>
      <c r="D9" s="3" t="s">
        <v>160</v>
      </c>
      <c r="E9" s="3" t="s">
        <v>157</v>
      </c>
      <c r="F9" s="2" t="s">
        <v>158</v>
      </c>
    </row>
    <row r="10" customHeight="1" spans="2:6">
      <c r="B10" s="1">
        <v>7</v>
      </c>
      <c r="C10" s="2" t="s">
        <v>111</v>
      </c>
      <c r="D10" s="3" t="s">
        <v>163</v>
      </c>
      <c r="E10" s="3" t="s">
        <v>157</v>
      </c>
      <c r="F10" s="2" t="s">
        <v>158</v>
      </c>
    </row>
    <row r="11" customHeight="1" spans="2:6">
      <c r="B11" s="1">
        <v>8</v>
      </c>
      <c r="C11" s="2" t="s">
        <v>113</v>
      </c>
      <c r="D11" s="3" t="s">
        <v>163</v>
      </c>
      <c r="E11" s="3" t="s">
        <v>157</v>
      </c>
      <c r="F11" s="2" t="s">
        <v>158</v>
      </c>
    </row>
    <row r="12" customHeight="1" spans="2:6">
      <c r="B12" s="1">
        <v>9</v>
      </c>
      <c r="C12" s="2" t="s">
        <v>164</v>
      </c>
      <c r="D12" s="3" t="s">
        <v>163</v>
      </c>
      <c r="E12" s="3" t="s">
        <v>157</v>
      </c>
      <c r="F12" s="2" t="s">
        <v>158</v>
      </c>
    </row>
  </sheetData>
  <dataValidations count="1">
    <dataValidation type="list" allowBlank="1" showInputMessage="1" showErrorMessage="1" sqref="F5:F1048576">
      <formula1>"管理员,用户"</formula1>
    </dataValidation>
  </dataValidations>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6" master="" otherUserPermission="visible"/>
  <rangeList sheetStid="7" master="" otherUserPermission="visible"/>
  <rangeList sheetStid="8" master="" otherUserPermission="visible"/>
  <rangeList sheetStid="5" master="" otherUserPermission="visible"/>
  <rangeList sheetStid="9" master="" otherUserPermission="visible"/>
  <rangeList sheetStid="13" master="" otherUserPermission="visible"/>
  <rangeList sheetStid="14" master="" otherUserPermission="visible"/>
  <rangeList sheetStid="11" master="" otherUserPermission="visible"/>
  <rangeList sheetStid="15" master="" otherUserPermission="visible"/>
  <rangeList sheetStid="12" master="" otherUserPermission="visible"/>
  <rangeList sheetStid="10"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15</vt:i4>
      </vt:variant>
    </vt:vector>
  </HeadingPairs>
  <TitlesOfParts>
    <vt:vector size="15" baseType="lpstr">
      <vt:lpstr>首页</vt:lpstr>
      <vt:lpstr>说明书</vt:lpstr>
      <vt:lpstr>Sheet3</vt:lpstr>
      <vt:lpstr>合同记录</vt:lpstr>
      <vt:lpstr>已完成合同</vt:lpstr>
      <vt:lpstr>开票合同</vt:lpstr>
      <vt:lpstr>员工工时查询</vt:lpstr>
      <vt:lpstr>工艺规程单</vt:lpstr>
      <vt:lpstr>出库单</vt:lpstr>
      <vt:lpstr>退货单</vt:lpstr>
      <vt:lpstr>退货记录查询</vt:lpstr>
      <vt:lpstr>配置表</vt:lpstr>
      <vt:lpstr>Sheet1</vt:lpstr>
      <vt:lpstr>数据暂存</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2025-02-09T07:41:25Z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2052-12.1.0.19770</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